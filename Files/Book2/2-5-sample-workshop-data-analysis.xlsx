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chatgpt-vb\Files\Book2\"/>
    </mc:Choice>
  </mc:AlternateContent>
  <xr:revisionPtr revIDLastSave="0" documentId="13_ncr:1_{3E4DE023-564E-4B9A-86B4-48088BAE70D4}" xr6:coauthVersionLast="47" xr6:coauthVersionMax="47" xr10:uidLastSave="{00000000-0000-0000-0000-000000000000}"/>
  <bookViews>
    <workbookView xWindow="-110" yWindow="-110" windowWidth="25820" windowHeight="15500" activeTab="4" xr2:uid="{00000000-000D-0000-FFFF-FFFF00000000}"/>
  </bookViews>
  <sheets>
    <sheet name="Read Me" sheetId="1" r:id="rId1"/>
    <sheet name="Workshop Sessions" sheetId="2" r:id="rId2"/>
    <sheet name="Cleaned Sessions" sheetId="3" r:id="rId3"/>
    <sheet name="Data Issues" sheetId="4" r:id="rId4"/>
    <sheet name="Analysi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5" l="1"/>
  <c r="J25" i="5"/>
  <c r="J24" i="5"/>
  <c r="J23" i="5"/>
  <c r="I16" i="5"/>
  <c r="F16" i="5"/>
  <c r="D16" i="5"/>
  <c r="C16" i="5"/>
  <c r="E16" i="5" s="1"/>
  <c r="B16" i="5"/>
  <c r="I15" i="5"/>
  <c r="F15" i="5"/>
  <c r="C15" i="5"/>
  <c r="B15" i="5"/>
  <c r="I10" i="5"/>
  <c r="F10" i="5"/>
  <c r="D10" i="5"/>
  <c r="C10" i="5"/>
  <c r="E10" i="5" s="1"/>
  <c r="B10" i="5"/>
  <c r="I9" i="5"/>
  <c r="F9" i="5"/>
  <c r="D9" i="5"/>
  <c r="E9" i="5" s="1"/>
  <c r="C9" i="5"/>
  <c r="B9" i="5"/>
  <c r="I8" i="5"/>
  <c r="F8" i="5"/>
  <c r="C8" i="5"/>
  <c r="B8" i="5"/>
  <c r="I7" i="5"/>
  <c r="F7" i="5"/>
  <c r="C7" i="5"/>
  <c r="B7" i="5"/>
  <c r="Q33" i="3"/>
  <c r="N33" i="3"/>
  <c r="O33" i="3" s="1"/>
  <c r="M33" i="3"/>
  <c r="P33" i="3" s="1"/>
  <c r="Q32" i="3"/>
  <c r="O32" i="3"/>
  <c r="N32" i="3"/>
  <c r="M32" i="3"/>
  <c r="P32" i="3" s="1"/>
  <c r="Q31" i="3"/>
  <c r="P31" i="3"/>
  <c r="N31" i="3"/>
  <c r="O31" i="3" s="1"/>
  <c r="M31" i="3"/>
  <c r="Q30" i="3"/>
  <c r="N30" i="3"/>
  <c r="O30" i="3" s="1"/>
  <c r="M30" i="3"/>
  <c r="P30" i="3" s="1"/>
  <c r="Q29" i="3"/>
  <c r="P29" i="3"/>
  <c r="O29" i="3"/>
  <c r="N29" i="3"/>
  <c r="M29" i="3"/>
  <c r="Q28" i="3"/>
  <c r="O28" i="3"/>
  <c r="N28" i="3"/>
  <c r="M28" i="3"/>
  <c r="P28" i="3" s="1"/>
  <c r="Q27" i="3"/>
  <c r="N27" i="3"/>
  <c r="O27" i="3" s="1"/>
  <c r="M27" i="3"/>
  <c r="P27" i="3" s="1"/>
  <c r="Q26" i="3"/>
  <c r="P26" i="3"/>
  <c r="O26" i="3"/>
  <c r="N26" i="3"/>
  <c r="M26" i="3"/>
  <c r="Q25" i="3"/>
  <c r="O25" i="3"/>
  <c r="N25" i="3"/>
  <c r="M25" i="3"/>
  <c r="P25" i="3" s="1"/>
  <c r="Q24" i="3"/>
  <c r="P24" i="3"/>
  <c r="N24" i="3"/>
  <c r="O24" i="3" s="1"/>
  <c r="M24" i="3"/>
  <c r="D7" i="5" s="1"/>
  <c r="Q23" i="3"/>
  <c r="P23" i="3"/>
  <c r="N23" i="3"/>
  <c r="O23" i="3" s="1"/>
  <c r="M23" i="3"/>
  <c r="Q22" i="3"/>
  <c r="N22" i="3"/>
  <c r="O22" i="3" s="1"/>
  <c r="M22" i="3"/>
  <c r="P22" i="3" s="1"/>
  <c r="Q21" i="3"/>
  <c r="P21" i="3"/>
  <c r="N21" i="3"/>
  <c r="O21" i="3" s="1"/>
  <c r="M21" i="3"/>
  <c r="Q20" i="3"/>
  <c r="N20" i="3"/>
  <c r="O20" i="3" s="1"/>
  <c r="M20" i="3"/>
  <c r="P20" i="3" s="1"/>
  <c r="Q19" i="3"/>
  <c r="N19" i="3"/>
  <c r="O19" i="3" s="1"/>
  <c r="M19" i="3"/>
  <c r="P19" i="3" s="1"/>
  <c r="Q18" i="3"/>
  <c r="P18" i="3"/>
  <c r="O18" i="3"/>
  <c r="N18" i="3"/>
  <c r="M18" i="3"/>
  <c r="Q17" i="3"/>
  <c r="N17" i="3"/>
  <c r="O17" i="3" s="1"/>
  <c r="M17" i="3"/>
  <c r="P17" i="3" s="1"/>
  <c r="Q16" i="3"/>
  <c r="N16" i="3"/>
  <c r="O16" i="3" s="1"/>
  <c r="M16" i="3"/>
  <c r="P16" i="3" s="1"/>
  <c r="Q15" i="3"/>
  <c r="N15" i="3"/>
  <c r="O15" i="3" s="1"/>
  <c r="M15" i="3"/>
  <c r="P15" i="3" s="1"/>
  <c r="Q14" i="3"/>
  <c r="N14" i="3"/>
  <c r="O14" i="3" s="1"/>
  <c r="M14" i="3"/>
  <c r="P14" i="3" s="1"/>
  <c r="Q13" i="3"/>
  <c r="P13" i="3"/>
  <c r="N13" i="3"/>
  <c r="O13" i="3" s="1"/>
  <c r="M13" i="3"/>
  <c r="Q12" i="3"/>
  <c r="O12" i="3"/>
  <c r="N12" i="3"/>
  <c r="M12" i="3"/>
  <c r="P12" i="3" s="1"/>
  <c r="Q11" i="3"/>
  <c r="N11" i="3"/>
  <c r="O11" i="3" s="1"/>
  <c r="M11" i="3"/>
  <c r="P11" i="3" s="1"/>
  <c r="Q10" i="3"/>
  <c r="P10" i="3"/>
  <c r="N10" i="3"/>
  <c r="O10" i="3" s="1"/>
  <c r="M10" i="3"/>
  <c r="Q9" i="3"/>
  <c r="N9" i="3"/>
  <c r="O9" i="3" s="1"/>
  <c r="M9" i="3"/>
  <c r="P9" i="3" s="1"/>
  <c r="Q8" i="3"/>
  <c r="N8" i="3"/>
  <c r="O8" i="3" s="1"/>
  <c r="M8" i="3"/>
  <c r="P8" i="3" s="1"/>
  <c r="Q7" i="3"/>
  <c r="P7" i="3"/>
  <c r="N7" i="3"/>
  <c r="O7" i="3" s="1"/>
  <c r="M7" i="3"/>
  <c r="D15" i="5" s="1"/>
  <c r="Q6" i="3"/>
  <c r="N6" i="3"/>
  <c r="O6" i="3" s="1"/>
  <c r="M6" i="3"/>
  <c r="D8" i="5" s="1"/>
  <c r="E8" i="5" s="1"/>
  <c r="G16" i="5" l="1"/>
  <c r="H16" i="5" s="1"/>
  <c r="G8" i="5"/>
  <c r="G10" i="5"/>
  <c r="G15" i="5"/>
  <c r="H15" i="5" s="1"/>
  <c r="E7" i="5"/>
  <c r="E15" i="5"/>
  <c r="G7" i="5"/>
  <c r="H7" i="5" s="1"/>
  <c r="K26" i="5" s="1"/>
  <c r="H10" i="5"/>
  <c r="K23" i="5" s="1"/>
  <c r="G9" i="5"/>
  <c r="H9" i="5" s="1"/>
  <c r="K24" i="5" s="1"/>
  <c r="H8" i="5"/>
  <c r="K25" i="5" s="1"/>
  <c r="P6" i="3"/>
</calcChain>
</file>

<file path=xl/sharedStrings.xml><?xml version="1.0" encoding="utf-8"?>
<sst xmlns="http://schemas.openxmlformats.org/spreadsheetml/2006/main" count="426" uniqueCount="156">
  <si>
    <t>Brightside Learning: workshop session data</t>
  </si>
  <si>
    <t>Purpose of this sample</t>
  </si>
  <si>
    <t>This fictional workbook contains one row for each workshop session run from April through June 2026. Use it to practice explaining, cleaning, calculating, and visualizing spreadsheet data with ChatGPT.</t>
  </si>
  <si>
    <t>Business question</t>
  </si>
  <si>
    <t>Which courses and delivery formats should Brightside Learning schedule more often next quarter, based on net revenue per session, attendance rate, and satisfaction?</t>
  </si>
  <si>
    <t>Measure</t>
  </si>
  <si>
    <t>How to calculate it</t>
  </si>
  <si>
    <t>Why it matters</t>
  </si>
  <si>
    <t>Before you calculate</t>
  </si>
  <si>
    <t>Gross revenue</t>
  </si>
  <si>
    <t>Bookings × fee per attendee</t>
  </si>
  <si>
    <t>Shows sales before refunds</t>
  </si>
  <si>
    <t>The source data contains deliberate quality problems. Ask ChatGPT to find and report them before changing any values. Do not guess missing information. Keep the original sheet unchanged and make a cleaned copy.</t>
  </si>
  <si>
    <t>Net revenue</t>
  </si>
  <si>
    <t>Gross revenue − refunds</t>
  </si>
  <si>
    <t>Shows revenue kept after refunds</t>
  </si>
  <si>
    <t>Attendance rate</t>
  </si>
  <si>
    <t>(Bookings − no-shows) ÷ bookings</t>
  </si>
  <si>
    <t>Shows how many booked attendees came</t>
  </si>
  <si>
    <t>Satisfaction</t>
  </si>
  <si>
    <t>Average of stated scores from 1 to 5</t>
  </si>
  <si>
    <t>Shows how attendees rated a session</t>
  </si>
  <si>
    <t>All names, sessions, and figures are fictional. Currency values are in US dollars.</t>
  </si>
  <si>
    <t>Brightside Learning: raw workshop sessions</t>
  </si>
  <si>
    <t>Source data for April-June 2026. Inspect and clean this sheet before using it for calculations.</t>
  </si>
  <si>
    <t>Session ID</t>
  </si>
  <si>
    <t>Session date</t>
  </si>
  <si>
    <t>Course</t>
  </si>
  <si>
    <t>Delivery format</t>
  </si>
  <si>
    <t>Location</t>
  </si>
  <si>
    <t>Capacity</t>
  </si>
  <si>
    <t>Bookings</t>
  </si>
  <si>
    <t>No-shows</t>
  </si>
  <si>
    <t>Fee per attendee</t>
  </si>
  <si>
    <t>Refunds</t>
  </si>
  <si>
    <t>Satisfaction (1-5)</t>
  </si>
  <si>
    <t>Session note</t>
  </si>
  <si>
    <t>S-101</t>
  </si>
  <si>
    <t>AI at Work</t>
  </si>
  <si>
    <t>Online</t>
  </si>
  <si>
    <t>Remote</t>
  </si>
  <si>
    <t>Strong demand from first-time customers</t>
  </si>
  <si>
    <t>S-102</t>
  </si>
  <si>
    <t>Excel Essentials</t>
  </si>
  <si>
    <t>In-person</t>
  </si>
  <si>
    <t>Austin</t>
  </si>
  <si>
    <t>S-103</t>
  </si>
  <si>
    <t>Project Planning</t>
  </si>
  <si>
    <t>Two attendees received full refunds</t>
  </si>
  <si>
    <t>S-104</t>
  </si>
  <si>
    <t>Present with Confidence</t>
  </si>
  <si>
    <t>Chicago</t>
  </si>
  <si>
    <t>Small group worked well</t>
  </si>
  <si>
    <t>S-105</t>
  </si>
  <si>
    <t>AI at work</t>
  </si>
  <si>
    <t>In person</t>
  </si>
  <si>
    <t>Denver</t>
  </si>
  <si>
    <t>S-106</t>
  </si>
  <si>
    <t>REMOTE</t>
  </si>
  <si>
    <t>Several late cancellations</t>
  </si>
  <si>
    <t>S-107</t>
  </si>
  <si>
    <t>Refund total not entered</t>
  </si>
  <si>
    <t>S-108</t>
  </si>
  <si>
    <t>S-109</t>
  </si>
  <si>
    <t>Waitlist opened</t>
  </si>
  <si>
    <t>S-110</t>
  </si>
  <si>
    <t>Excel essentials</t>
  </si>
  <si>
    <t>S-111</t>
  </si>
  <si>
    <t>Feedback form was not sent</t>
  </si>
  <si>
    <t>S-112</t>
  </si>
  <si>
    <t>Highest satisfaction this month</t>
  </si>
  <si>
    <t>S-113</t>
  </si>
  <si>
    <t>S-114</t>
  </si>
  <si>
    <t>Platform outage delayed the start</t>
  </si>
  <si>
    <t>S-115</t>
  </si>
  <si>
    <t>S-116</t>
  </si>
  <si>
    <t>S-117</t>
  </si>
  <si>
    <t>S-118</t>
  </si>
  <si>
    <t>S-119</t>
  </si>
  <si>
    <t>Bookings exceed listed capacity</t>
  </si>
  <si>
    <t>S-120</t>
  </si>
  <si>
    <t>June 12, 2026</t>
  </si>
  <si>
    <t>online</t>
  </si>
  <si>
    <t>Date stored differently from other rows</t>
  </si>
  <si>
    <t>S-121</t>
  </si>
  <si>
    <t>S-122</t>
  </si>
  <si>
    <t>S-123</t>
  </si>
  <si>
    <t>S-124</t>
  </si>
  <si>
    <t>S-125</t>
  </si>
  <si>
    <t>S-126</t>
  </si>
  <si>
    <t>S-127</t>
  </si>
  <si>
    <t>S-128</t>
  </si>
  <si>
    <t>One attendee received a full refund</t>
  </si>
  <si>
    <t>Brightside Learning: cleaned workshop sessions</t>
  </si>
  <si>
    <t>Exact duplicates removed; clear text variants standardized; recognizable dates stored as spreadsheet dates. Missing and questionable values remain unchanged.</t>
  </si>
  <si>
    <t>Attended</t>
  </si>
  <si>
    <t>Review flag</t>
  </si>
  <si>
    <t>Brightside Learning: data-quality issues</t>
  </si>
  <si>
    <t>Original row count</t>
  </si>
  <si>
    <t>Cleaned row count</t>
  </si>
  <si>
    <t>Duplicates removed</t>
  </si>
  <si>
    <t>Unresolved issues</t>
  </si>
  <si>
    <t>Column</t>
  </si>
  <si>
    <t>Original value</t>
  </si>
  <si>
    <t>Problem found</t>
  </si>
  <si>
    <t>Change made</t>
  </si>
  <si>
    <t>Human review still needed</t>
  </si>
  <si>
    <t>Capitalization differs from the standard course name.</t>
  </si>
  <si>
    <t>Changed to AI at Work.</t>
  </si>
  <si>
    <t>No</t>
  </si>
  <si>
    <t>Spacing and punctuation differ from the standard format name.</t>
  </si>
  <si>
    <t>Changed to In-person.</t>
  </si>
  <si>
    <t>Capitalization differs from the standard location name.</t>
  </si>
  <si>
    <t>Changed to Remote.</t>
  </si>
  <si>
    <t>Blank</t>
  </si>
  <si>
    <t>Refund amount is missing; the session note says it was not entered.</t>
  </si>
  <si>
    <t>No change.</t>
  </si>
  <si>
    <t>Yes</t>
  </si>
  <si>
    <t>Changed to Excel Essentials.</t>
  </si>
  <si>
    <t>Satisfaction is missing; the session note says the feedback form was not sent.</t>
  </si>
  <si>
    <t>Entire row</t>
  </si>
  <si>
    <t>Exact duplicate row</t>
  </si>
  <si>
    <t>All values match another S-114 row exactly.</t>
  </si>
  <si>
    <t>Removed one duplicate row.</t>
  </si>
  <si>
    <t>Course name contains trailing space.</t>
  </si>
  <si>
    <t>Removed trailing space.</t>
  </si>
  <si>
    <t>Bookings exceed the listed capacity of 20.</t>
  </si>
  <si>
    <t>June 12, 2026 (text)</t>
  </si>
  <si>
    <t>Date is stored as text while other dates are stored as spreadsheet dates.</t>
  </si>
  <si>
    <t>Converted to a real spreadsheet date.</t>
  </si>
  <si>
    <t>Capitalization differs from the standard format name.</t>
  </si>
  <si>
    <t>Changed to Online.</t>
  </si>
  <si>
    <t>Brightside Learning: workshop analysis</t>
  </si>
  <si>
    <t>All summary measures are calculated with spreadsheet formulas from Cleaned Sessions. Unknown refund amounts are excluded from net-revenue measures, not treated as zero.</t>
  </si>
  <si>
    <t>Summary by course</t>
  </si>
  <si>
    <t>Category</t>
  </si>
  <si>
    <t>Sessions</t>
  </si>
  <si>
    <t>Total bookings</t>
  </si>
  <si>
    <t>Total attended</t>
  </si>
  <si>
    <t>Overall attendance rate</t>
  </si>
  <si>
    <t>Sessions with known net revenue</t>
  </si>
  <si>
    <t>Total known net revenue</t>
  </si>
  <si>
    <t>Average net revenue per known session</t>
  </si>
  <si>
    <t>Average satisfaction</t>
  </si>
  <si>
    <t>Summary by delivery format</t>
  </si>
  <si>
    <t>Observations for next quarter</t>
  </si>
  <si>
    <t>Chart note: Only sessions with known refund information are included in the average net revenue calculation.</t>
  </si>
  <si>
    <t>Fact</t>
  </si>
  <si>
    <t>Interpretation</t>
  </si>
  <si>
    <t>Project Planning has the highest average net revenue per session with known refunds: $1,968 across 6 sessions.</t>
  </si>
  <si>
    <t>It is the strongest course on this revenue measure, but attendance and satisfaction should also inform any increase.</t>
  </si>
  <si>
    <t>In-person attendance was 93.1% versus 87.2% online; average known net revenue was $1,613 in person versus $1,719 online.</t>
  </si>
  <si>
    <t>The formats differ on both measures, but course mix, fees, locations, and session conditions may also explain the results.</t>
  </si>
  <si>
    <t>Average net revenue</t>
  </si>
  <si>
    <t>Net revenue is unknown for S-107, satisfaction is missing for S-111, and S-119 records 23 bookings against capacity of 20.</t>
  </si>
  <si>
    <t>Resolve these Project Planning data issues before making a final scheduling decision.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</si>
</sst>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\ d\,\ yyyy"/>
    <numFmt numFmtId="165" formatCode="&quot;US$&quot;#,##0"/>
    <numFmt numFmtId="166" formatCode="0.0"/>
    <numFmt numFmtId="167" formatCode="0.0%"/>
  </numFmts>
  <fonts count="18">
    <font>
      <sz val="11"/>
      <name val="Carlito"/>
    </font>
    <font>
      <b/>
      <sz val="11"/>
      <color rgb="FFFFFFFF"/>
      <name val="Carlito"/>
    </font>
    <font>
      <b/>
      <sz val="20"/>
      <color rgb="FFFFFFFF"/>
      <name val="Aptos"/>
    </font>
    <font>
      <sz val="11"/>
      <name val="Aptos"/>
    </font>
    <font>
      <b/>
      <sz val="12"/>
      <color rgb="FFFFFFFF"/>
      <name val="Aptos"/>
    </font>
    <font>
      <sz val="11"/>
      <color rgb="FF263238"/>
      <name val="Aptos"/>
    </font>
    <font>
      <b/>
      <sz val="11"/>
      <color rgb="FF263238"/>
      <name val="Aptos"/>
    </font>
    <font>
      <b/>
      <sz val="11"/>
      <color rgb="FFFFFFFF"/>
      <name val="Aptos"/>
    </font>
    <font>
      <i/>
      <sz val="10"/>
      <color rgb="FF5F6B72"/>
      <name val="Aptos"/>
    </font>
    <font>
      <b/>
      <sz val="18"/>
      <color rgb="FFFFFFFF"/>
      <name val="Aptos Display"/>
    </font>
    <font>
      <i/>
      <sz val="10"/>
      <color rgb="FF263238"/>
      <name val="Aptos"/>
    </font>
    <font>
      <b/>
      <sz val="10"/>
      <color rgb="FFFFFFFF"/>
      <name val="Aptos"/>
    </font>
    <font>
      <sz val="10"/>
      <color rgb="FF263238"/>
      <name val="Aptos"/>
    </font>
    <font>
      <b/>
      <sz val="18"/>
      <color rgb="FFFFFFFF"/>
      <name val="Carlito"/>
    </font>
    <font>
      <i/>
      <sz val="10"/>
      <color rgb="FF24343E"/>
      <name val="Carlito"/>
    </font>
    <font>
      <sz val="10"/>
      <color rgb="FF24343E"/>
      <name val="Carlito"/>
    </font>
    <font>
      <b/>
      <sz val="11"/>
      <color rgb="FF24343E"/>
      <name val="Carlito"/>
    </font>
    <font>
      <b/>
      <sz val="9"/>
      <color rgb="FFFFFFFF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24364B"/>
      </patternFill>
    </fill>
    <fill>
      <patternFill patternType="solid">
        <fgColor rgb="FF2F6F6D"/>
      </patternFill>
    </fill>
    <fill>
      <patternFill patternType="solid">
        <fgColor rgb="FFFBF8F1"/>
      </patternFill>
    </fill>
    <fill>
      <patternFill patternType="solid">
        <fgColor rgb="FFDDEBE8"/>
      </patternFill>
    </fill>
    <fill>
      <patternFill patternType="solid">
        <fgColor rgb="FFB66A3C"/>
      </patternFill>
    </fill>
    <fill>
      <patternFill patternType="solid">
        <fgColor rgb="FFF3E7CC"/>
      </patternFill>
    </fill>
    <fill>
      <patternFill patternType="solid">
        <fgColor rgb="FF243B53"/>
      </patternFill>
    </fill>
    <fill>
      <patternFill patternType="solid">
        <fgColor rgb="FF2F7778"/>
      </patternFill>
    </fill>
    <fill>
      <patternFill patternType="solid">
        <fgColor rgb="FFFCF9F2"/>
      </patternFill>
    </fill>
    <fill>
      <patternFill patternType="solid">
        <fgColor rgb="FFDCEBE8"/>
      </patternFill>
    </fill>
    <fill>
      <patternFill patternType="solid">
        <fgColor rgb="FF243B53"/>
      </patternFill>
    </fill>
    <fill>
      <patternFill patternType="solid">
        <fgColor rgb="FFF7E9C7"/>
      </patternFill>
    </fill>
    <fill>
      <patternFill patternType="solid">
        <fgColor rgb="FF225E60"/>
      </patternFill>
    </fill>
    <fill>
      <patternFill patternType="solid">
        <fgColor rgb="FFFCF9F2"/>
      </patternFill>
    </fill>
    <fill>
      <patternFill patternType="solid">
        <fgColor rgb="FF2F7778"/>
      </patternFill>
    </fill>
    <fill>
      <patternFill patternType="solid">
        <fgColor rgb="FFDCEBE8"/>
      </patternFill>
    </fill>
  </fills>
  <borders count="42">
    <border>
      <left/>
      <right/>
      <top/>
      <bottom/>
      <diagonal/>
    </border>
    <border>
      <left style="thin">
        <color rgb="FFCAD1D4"/>
      </left>
      <right/>
      <top style="thin">
        <color rgb="FFCAD1D4"/>
      </top>
      <bottom/>
      <diagonal/>
    </border>
    <border>
      <left/>
      <right/>
      <top style="thin">
        <color rgb="FFCAD1D4"/>
      </top>
      <bottom/>
      <diagonal/>
    </border>
    <border>
      <left/>
      <right style="thin">
        <color rgb="FFCAD1D4"/>
      </right>
      <top style="thin">
        <color rgb="FFCAD1D4"/>
      </top>
      <bottom/>
      <diagonal/>
    </border>
    <border>
      <left style="thin">
        <color rgb="FFCAD1D4"/>
      </left>
      <right/>
      <top/>
      <bottom style="thin">
        <color rgb="FFCAD1D4"/>
      </bottom>
      <diagonal/>
    </border>
    <border>
      <left/>
      <right/>
      <top/>
      <bottom style="thin">
        <color rgb="FFCAD1D4"/>
      </bottom>
      <diagonal/>
    </border>
    <border>
      <left/>
      <right style="thin">
        <color rgb="FFCAD1D4"/>
      </right>
      <top/>
      <bottom style="thin">
        <color rgb="FFCAD1D4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CAD1D4"/>
      </left>
      <right/>
      <top style="thin">
        <color rgb="FFCAD1D4"/>
      </top>
      <bottom style="thin">
        <color rgb="FFCAD1D4"/>
      </bottom>
      <diagonal/>
    </border>
    <border>
      <left/>
      <right/>
      <top style="thin">
        <color rgb="FFCAD1D4"/>
      </top>
      <bottom style="thin">
        <color rgb="FFCAD1D4"/>
      </bottom>
      <diagonal/>
    </border>
    <border>
      <left/>
      <right style="thin">
        <color rgb="FFCAD1D4"/>
      </right>
      <top style="thin">
        <color rgb="FFCAD1D4"/>
      </top>
      <bottom style="thin">
        <color rgb="FFCAD1D4"/>
      </bottom>
      <diagonal/>
    </border>
    <border>
      <left style="thin">
        <color rgb="FFD2B477"/>
      </left>
      <right/>
      <top style="thin">
        <color rgb="FFD2B477"/>
      </top>
      <bottom/>
      <diagonal/>
    </border>
    <border>
      <left/>
      <right/>
      <top style="thin">
        <color rgb="FFD2B477"/>
      </top>
      <bottom/>
      <diagonal/>
    </border>
    <border>
      <left/>
      <right style="thin">
        <color rgb="FFD2B477"/>
      </right>
      <top style="thin">
        <color rgb="FFD2B477"/>
      </top>
      <bottom/>
      <diagonal/>
    </border>
    <border>
      <left style="thin">
        <color rgb="FFD2B477"/>
      </left>
      <right/>
      <top/>
      <bottom/>
      <diagonal/>
    </border>
    <border>
      <left/>
      <right style="thin">
        <color rgb="FFD2B477"/>
      </right>
      <top/>
      <bottom/>
      <diagonal/>
    </border>
    <border>
      <left style="thin">
        <color rgb="FFD2B477"/>
      </left>
      <right/>
      <top/>
      <bottom style="thin">
        <color rgb="FFD2B477"/>
      </bottom>
      <diagonal/>
    </border>
    <border>
      <left/>
      <right/>
      <top/>
      <bottom style="thin">
        <color rgb="FFD2B477"/>
      </bottom>
      <diagonal/>
    </border>
    <border>
      <left/>
      <right style="thin">
        <color rgb="FFD2B477"/>
      </right>
      <top/>
      <bottom style="thin">
        <color rgb="FFD2B477"/>
      </bottom>
      <diagonal/>
    </border>
    <border>
      <left style="thin">
        <color rgb="FFD2B477"/>
      </left>
      <right/>
      <top style="thin">
        <color rgb="FFD2B477"/>
      </top>
      <bottom style="thin">
        <color rgb="FFD2B477"/>
      </bottom>
      <diagonal/>
    </border>
    <border>
      <left/>
      <right/>
      <top style="thin">
        <color rgb="FFD2B477"/>
      </top>
      <bottom style="thin">
        <color rgb="FFD2B477"/>
      </bottom>
      <diagonal/>
    </border>
    <border>
      <left/>
      <right style="thin">
        <color rgb="FFD2B477"/>
      </right>
      <top style="thin">
        <color rgb="FFD2B477"/>
      </top>
      <bottom style="thin">
        <color rgb="FFD2B477"/>
      </bottom>
      <diagonal/>
    </border>
    <border>
      <left/>
      <right style="thin">
        <color rgb="FFEEF0F1"/>
      </right>
      <top/>
      <bottom style="thin">
        <color rgb="FFE3E6E8"/>
      </bottom>
      <diagonal/>
    </border>
    <border>
      <left style="thin">
        <color rgb="FFEEF0F1"/>
      </left>
      <right style="thin">
        <color rgb="FFEEF0F1"/>
      </right>
      <top/>
      <bottom style="thin">
        <color rgb="FFE3E6E8"/>
      </bottom>
      <diagonal/>
    </border>
    <border>
      <left style="thin">
        <color rgb="FFEEF0F1"/>
      </left>
      <right/>
      <top/>
      <bottom style="thin">
        <color rgb="FFE3E6E8"/>
      </bottom>
      <diagonal/>
    </border>
    <border>
      <left/>
      <right style="thin">
        <color rgb="FFEEF0F1"/>
      </right>
      <top style="thin">
        <color rgb="FFE3E6E8"/>
      </top>
      <bottom style="thin">
        <color rgb="FFE3E6E8"/>
      </bottom>
      <diagonal/>
    </border>
    <border>
      <left style="thin">
        <color rgb="FFEEF0F1"/>
      </left>
      <right style="thin">
        <color rgb="FFEEF0F1"/>
      </right>
      <top style="thin">
        <color rgb="FFE3E6E8"/>
      </top>
      <bottom style="thin">
        <color rgb="FFE3E6E8"/>
      </bottom>
      <diagonal/>
    </border>
    <border>
      <left style="thin">
        <color rgb="FFEEF0F1"/>
      </left>
      <right/>
      <top style="thin">
        <color rgb="FFE3E6E8"/>
      </top>
      <bottom style="thin">
        <color rgb="FFE3E6E8"/>
      </bottom>
      <diagonal/>
    </border>
    <border>
      <left/>
      <right style="thin">
        <color rgb="FFEEF0F1"/>
      </right>
      <top style="thin">
        <color rgb="FFE3E6E8"/>
      </top>
      <bottom style="thin">
        <color rgb="FFCAD1D4"/>
      </bottom>
      <diagonal/>
    </border>
    <border>
      <left style="thin">
        <color rgb="FFEEF0F1"/>
      </left>
      <right style="thin">
        <color rgb="FFEEF0F1"/>
      </right>
      <top style="thin">
        <color rgb="FFE3E6E8"/>
      </top>
      <bottom style="thin">
        <color rgb="FFCAD1D4"/>
      </bottom>
      <diagonal/>
    </border>
    <border>
      <left style="thin">
        <color rgb="FFEEF0F1"/>
      </left>
      <right/>
      <top style="thin">
        <color rgb="FFE3E6E8"/>
      </top>
      <bottom style="thin">
        <color rgb="FFCAD1D4"/>
      </bottom>
      <diagonal/>
    </border>
    <border>
      <left style="thin">
        <color rgb="FFD8E0E6"/>
      </left>
      <right style="thin">
        <color rgb="FFD8E0E6"/>
      </right>
      <top style="thin">
        <color rgb="FFD8E0E6"/>
      </top>
      <bottom style="thin">
        <color rgb="FFD8E0E6"/>
      </bottom>
      <diagonal/>
    </border>
    <border>
      <left/>
      <right style="thin">
        <color rgb="FFD8E0E6"/>
      </right>
      <top/>
      <bottom style="thin">
        <color rgb="FFD8E0E6"/>
      </bottom>
      <diagonal/>
    </border>
    <border>
      <left style="thin">
        <color rgb="FFD8E0E6"/>
      </left>
      <right style="thin">
        <color rgb="FFD8E0E6"/>
      </right>
      <top/>
      <bottom style="thin">
        <color rgb="FFD8E0E6"/>
      </bottom>
      <diagonal/>
    </border>
    <border>
      <left style="thin">
        <color rgb="FFD8E0E6"/>
      </left>
      <right/>
      <top/>
      <bottom style="thin">
        <color rgb="FFD8E0E6"/>
      </bottom>
      <diagonal/>
    </border>
    <border>
      <left/>
      <right style="thin">
        <color rgb="FFD8E0E6"/>
      </right>
      <top style="thin">
        <color rgb="FFD8E0E6"/>
      </top>
      <bottom style="thin">
        <color rgb="FFD8E0E6"/>
      </bottom>
      <diagonal/>
    </border>
    <border>
      <left style="thin">
        <color rgb="FFD8E0E6"/>
      </left>
      <right/>
      <top style="thin">
        <color rgb="FFD8E0E6"/>
      </top>
      <bottom style="thin">
        <color rgb="FFD8E0E6"/>
      </bottom>
      <diagonal/>
    </border>
    <border>
      <left/>
      <right style="thin">
        <color rgb="FFD8E0E6"/>
      </right>
      <top style="thin">
        <color rgb="FFD8E0E6"/>
      </top>
      <bottom/>
      <diagonal/>
    </border>
    <border>
      <left style="thin">
        <color rgb="FFD8E0E6"/>
      </left>
      <right style="thin">
        <color rgb="FFD8E0E6"/>
      </right>
      <top style="thin">
        <color rgb="FFD8E0E6"/>
      </top>
      <bottom/>
      <diagonal/>
    </border>
    <border>
      <left style="thin">
        <color rgb="FFD8E0E6"/>
      </left>
      <right/>
      <top style="thin">
        <color rgb="FFD8E0E6"/>
      </top>
      <bottom/>
      <diagonal/>
    </border>
  </borders>
  <cellStyleXfs count="1">
    <xf numFmtId="0" fontId="0" fillId="0" borderId="0"/>
  </cellStyleXfs>
  <cellXfs count="136">
    <xf numFmtId="0" fontId="0" fillId="0" borderId="0" xfId="0"/>
    <xf numFmtId="0" fontId="3" fillId="0" borderId="0" xfId="0" applyFont="1"/>
    <xf numFmtId="0" fontId="5" fillId="4" borderId="4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vertical="center" wrapText="1"/>
    </xf>
    <xf numFmtId="0" fontId="5" fillId="4" borderId="6" xfId="0" applyFont="1" applyFill="1" applyBorder="1" applyAlignment="1">
      <alignment vertical="center" wrapText="1"/>
    </xf>
    <xf numFmtId="0" fontId="7" fillId="2" borderId="7" xfId="0" applyFont="1" applyFill="1" applyBorder="1"/>
    <xf numFmtId="0" fontId="7" fillId="2" borderId="8" xfId="0" applyFont="1" applyFill="1" applyBorder="1"/>
    <xf numFmtId="0" fontId="7" fillId="2" borderId="9" xfId="0" applyFont="1" applyFill="1" applyBorder="1"/>
    <xf numFmtId="0" fontId="5" fillId="4" borderId="10" xfId="0" applyFont="1" applyFill="1" applyBorder="1" applyAlignment="1">
      <alignment vertical="center" wrapText="1"/>
    </xf>
    <xf numFmtId="0" fontId="5" fillId="4" borderId="11" xfId="0" applyFont="1" applyFill="1" applyBorder="1" applyAlignment="1">
      <alignment vertical="center" wrapText="1"/>
    </xf>
    <xf numFmtId="0" fontId="5" fillId="4" borderId="12" xfId="0" applyFont="1" applyFill="1" applyBorder="1" applyAlignment="1">
      <alignment vertical="center" wrapText="1"/>
    </xf>
    <xf numFmtId="0" fontId="11" fillId="3" borderId="7" xfId="0" applyFont="1" applyFill="1" applyBorder="1" applyAlignment="1">
      <alignment vertical="center" wrapText="1"/>
    </xf>
    <xf numFmtId="0" fontId="11" fillId="3" borderId="8" xfId="0" applyFont="1" applyFill="1" applyBorder="1" applyAlignment="1">
      <alignment vertical="center" wrapText="1"/>
    </xf>
    <xf numFmtId="0" fontId="11" fillId="3" borderId="9" xfId="0" applyFont="1" applyFill="1" applyBorder="1" applyAlignment="1">
      <alignment vertical="center" wrapText="1"/>
    </xf>
    <xf numFmtId="0" fontId="12" fillId="4" borderId="26" xfId="0" applyFont="1" applyFill="1" applyBorder="1" applyAlignment="1">
      <alignment vertical="center" wrapText="1"/>
    </xf>
    <xf numFmtId="0" fontId="12" fillId="4" borderId="29" xfId="0" applyFont="1" applyFill="1" applyBorder="1" applyAlignment="1">
      <alignment vertical="center" wrapText="1"/>
    </xf>
    <xf numFmtId="0" fontId="12" fillId="4" borderId="32" xfId="0" applyFont="1" applyFill="1" applyBorder="1" applyAlignment="1">
      <alignment vertical="center" wrapText="1"/>
    </xf>
    <xf numFmtId="0" fontId="12" fillId="4" borderId="24" xfId="0" applyFont="1" applyFill="1" applyBorder="1" applyAlignment="1">
      <alignment vertical="center" wrapText="1"/>
    </xf>
    <xf numFmtId="164" fontId="12" fillId="4" borderId="25" xfId="0" applyNumberFormat="1" applyFont="1" applyFill="1" applyBorder="1" applyAlignment="1">
      <alignment vertical="center" wrapText="1"/>
    </xf>
    <xf numFmtId="0" fontId="12" fillId="4" borderId="25" xfId="0" applyFont="1" applyFill="1" applyBorder="1" applyAlignment="1">
      <alignment vertical="center" wrapText="1"/>
    </xf>
    <xf numFmtId="3" fontId="12" fillId="4" borderId="25" xfId="0" applyNumberFormat="1" applyFont="1" applyFill="1" applyBorder="1" applyAlignment="1">
      <alignment horizontal="right" vertical="center" wrapText="1"/>
    </xf>
    <xf numFmtId="165" fontId="12" fillId="4" borderId="25" xfId="0" applyNumberFormat="1" applyFont="1" applyFill="1" applyBorder="1" applyAlignment="1">
      <alignment horizontal="right" vertical="center" wrapText="1"/>
    </xf>
    <xf numFmtId="166" fontId="12" fillId="4" borderId="25" xfId="0" applyNumberFormat="1" applyFont="1" applyFill="1" applyBorder="1" applyAlignment="1">
      <alignment horizontal="right" vertical="center" wrapText="1"/>
    </xf>
    <xf numFmtId="0" fontId="12" fillId="4" borderId="27" xfId="0" applyFont="1" applyFill="1" applyBorder="1" applyAlignment="1">
      <alignment vertical="center" wrapText="1"/>
    </xf>
    <xf numFmtId="164" fontId="12" fillId="4" borderId="28" xfId="0" applyNumberFormat="1" applyFont="1" applyFill="1" applyBorder="1" applyAlignment="1">
      <alignment vertical="center" wrapText="1"/>
    </xf>
    <xf numFmtId="0" fontId="12" fillId="4" borderId="28" xfId="0" applyFont="1" applyFill="1" applyBorder="1" applyAlignment="1">
      <alignment vertical="center" wrapText="1"/>
    </xf>
    <xf numFmtId="3" fontId="12" fillId="4" borderId="28" xfId="0" applyNumberFormat="1" applyFont="1" applyFill="1" applyBorder="1" applyAlignment="1">
      <alignment horizontal="right" vertical="center" wrapText="1"/>
    </xf>
    <xf numFmtId="165" fontId="12" fillId="4" borderId="28" xfId="0" applyNumberFormat="1" applyFont="1" applyFill="1" applyBorder="1" applyAlignment="1">
      <alignment horizontal="right" vertical="center" wrapText="1"/>
    </xf>
    <xf numFmtId="166" fontId="12" fillId="4" borderId="28" xfId="0" applyNumberFormat="1" applyFont="1" applyFill="1" applyBorder="1" applyAlignment="1">
      <alignment horizontal="right" vertical="center" wrapText="1"/>
    </xf>
    <xf numFmtId="0" fontId="12" fillId="4" borderId="30" xfId="0" applyFont="1" applyFill="1" applyBorder="1" applyAlignment="1">
      <alignment vertical="center" wrapText="1"/>
    </xf>
    <xf numFmtId="164" fontId="12" fillId="4" borderId="31" xfId="0" applyNumberFormat="1" applyFont="1" applyFill="1" applyBorder="1" applyAlignment="1">
      <alignment vertical="center" wrapText="1"/>
    </xf>
    <xf numFmtId="0" fontId="12" fillId="4" borderId="31" xfId="0" applyFont="1" applyFill="1" applyBorder="1" applyAlignment="1">
      <alignment vertical="center" wrapText="1"/>
    </xf>
    <xf numFmtId="3" fontId="12" fillId="4" borderId="31" xfId="0" applyNumberFormat="1" applyFont="1" applyFill="1" applyBorder="1" applyAlignment="1">
      <alignment horizontal="right" vertical="center" wrapText="1"/>
    </xf>
    <xf numFmtId="165" fontId="12" fillId="4" borderId="31" xfId="0" applyNumberFormat="1" applyFont="1" applyFill="1" applyBorder="1" applyAlignment="1">
      <alignment horizontal="right" vertical="center" wrapText="1"/>
    </xf>
    <xf numFmtId="166" fontId="12" fillId="4" borderId="31" xfId="0" applyNumberFormat="1" applyFont="1" applyFill="1" applyBorder="1" applyAlignment="1">
      <alignment horizontal="right" vertical="center" wrapText="1"/>
    </xf>
    <xf numFmtId="0" fontId="1" fillId="9" borderId="33" xfId="0" applyFont="1" applyFill="1" applyBorder="1"/>
    <xf numFmtId="0" fontId="1" fillId="9" borderId="33" xfId="0" applyFont="1" applyFill="1" applyBorder="1" applyAlignment="1">
      <alignment vertical="center" wrapText="1"/>
    </xf>
    <xf numFmtId="0" fontId="15" fillId="10" borderId="34" xfId="0" applyFont="1" applyFill="1" applyBorder="1" applyAlignment="1">
      <alignment vertical="center"/>
    </xf>
    <xf numFmtId="0" fontId="15" fillId="10" borderId="35" xfId="0" applyFont="1" applyFill="1" applyBorder="1" applyAlignment="1">
      <alignment vertical="center"/>
    </xf>
    <xf numFmtId="0" fontId="15" fillId="10" borderId="37" xfId="0" applyFont="1" applyFill="1" applyBorder="1" applyAlignment="1">
      <alignment vertical="center"/>
    </xf>
    <xf numFmtId="0" fontId="15" fillId="10" borderId="33" xfId="0" applyFont="1" applyFill="1" applyBorder="1" applyAlignment="1">
      <alignment vertical="center"/>
    </xf>
    <xf numFmtId="0" fontId="15" fillId="10" borderId="39" xfId="0" applyFont="1" applyFill="1" applyBorder="1" applyAlignment="1">
      <alignment vertical="center"/>
    </xf>
    <xf numFmtId="0" fontId="15" fillId="10" borderId="40" xfId="0" applyFont="1" applyFill="1" applyBorder="1" applyAlignment="1">
      <alignment vertical="center"/>
    </xf>
    <xf numFmtId="164" fontId="15" fillId="10" borderId="35" xfId="0" applyNumberFormat="1" applyFont="1" applyFill="1" applyBorder="1" applyAlignment="1">
      <alignment vertical="center"/>
    </xf>
    <xf numFmtId="164" fontId="15" fillId="10" borderId="33" xfId="0" applyNumberFormat="1" applyFont="1" applyFill="1" applyBorder="1" applyAlignment="1">
      <alignment vertical="center"/>
    </xf>
    <xf numFmtId="164" fontId="15" fillId="10" borderId="40" xfId="0" applyNumberFormat="1" applyFont="1" applyFill="1" applyBorder="1" applyAlignment="1">
      <alignment vertical="center"/>
    </xf>
    <xf numFmtId="3" fontId="15" fillId="10" borderId="35" xfId="0" applyNumberFormat="1" applyFont="1" applyFill="1" applyBorder="1" applyAlignment="1">
      <alignment horizontal="right" vertical="center"/>
    </xf>
    <xf numFmtId="165" fontId="15" fillId="10" borderId="35" xfId="0" applyNumberFormat="1" applyFont="1" applyFill="1" applyBorder="1" applyAlignment="1">
      <alignment horizontal="right" vertical="center"/>
    </xf>
    <xf numFmtId="166" fontId="15" fillId="10" borderId="35" xfId="0" applyNumberFormat="1" applyFont="1" applyFill="1" applyBorder="1" applyAlignment="1">
      <alignment horizontal="right" vertical="center"/>
    </xf>
    <xf numFmtId="3" fontId="15" fillId="10" borderId="33" xfId="0" applyNumberFormat="1" applyFont="1" applyFill="1" applyBorder="1" applyAlignment="1">
      <alignment horizontal="right" vertical="center"/>
    </xf>
    <xf numFmtId="165" fontId="15" fillId="10" borderId="33" xfId="0" applyNumberFormat="1" applyFont="1" applyFill="1" applyBorder="1" applyAlignment="1">
      <alignment horizontal="right" vertical="center"/>
    </xf>
    <xf numFmtId="166" fontId="15" fillId="10" borderId="33" xfId="0" applyNumberFormat="1" applyFont="1" applyFill="1" applyBorder="1" applyAlignment="1">
      <alignment horizontal="right" vertical="center"/>
    </xf>
    <xf numFmtId="3" fontId="15" fillId="10" borderId="40" xfId="0" applyNumberFormat="1" applyFont="1" applyFill="1" applyBorder="1" applyAlignment="1">
      <alignment horizontal="right" vertical="center"/>
    </xf>
    <xf numFmtId="165" fontId="15" fillId="10" borderId="40" xfId="0" applyNumberFormat="1" applyFont="1" applyFill="1" applyBorder="1" applyAlignment="1">
      <alignment horizontal="right" vertical="center"/>
    </xf>
    <xf numFmtId="166" fontId="15" fillId="10" borderId="40" xfId="0" applyNumberFormat="1" applyFont="1" applyFill="1" applyBorder="1" applyAlignment="1">
      <alignment horizontal="right" vertical="center"/>
    </xf>
    <xf numFmtId="0" fontId="15" fillId="10" borderId="36" xfId="0" applyFont="1" applyFill="1" applyBorder="1" applyAlignment="1">
      <alignment vertical="center" wrapText="1"/>
    </xf>
    <xf numFmtId="0" fontId="15" fillId="10" borderId="38" xfId="0" applyFont="1" applyFill="1" applyBorder="1" applyAlignment="1">
      <alignment vertical="center" wrapText="1"/>
    </xf>
    <xf numFmtId="0" fontId="15" fillId="10" borderId="41" xfId="0" applyFont="1" applyFill="1" applyBorder="1" applyAlignment="1">
      <alignment vertical="center" wrapText="1"/>
    </xf>
    <xf numFmtId="0" fontId="16" fillId="11" borderId="33" xfId="0" applyFont="1" applyFill="1" applyBorder="1" applyAlignment="1">
      <alignment horizontal="right"/>
    </xf>
    <xf numFmtId="0" fontId="15" fillId="10" borderId="34" xfId="0" applyFont="1" applyFill="1" applyBorder="1" applyAlignment="1">
      <alignment vertical="top" wrapText="1"/>
    </xf>
    <xf numFmtId="0" fontId="15" fillId="10" borderId="35" xfId="0" applyFont="1" applyFill="1" applyBorder="1" applyAlignment="1">
      <alignment vertical="top" wrapText="1"/>
    </xf>
    <xf numFmtId="0" fontId="15" fillId="10" borderId="36" xfId="0" applyFont="1" applyFill="1" applyBorder="1" applyAlignment="1">
      <alignment vertical="top" wrapText="1"/>
    </xf>
    <xf numFmtId="0" fontId="15" fillId="10" borderId="37" xfId="0" applyFont="1" applyFill="1" applyBorder="1" applyAlignment="1">
      <alignment vertical="top" wrapText="1"/>
    </xf>
    <xf numFmtId="0" fontId="15" fillId="10" borderId="33" xfId="0" applyFont="1" applyFill="1" applyBorder="1" applyAlignment="1">
      <alignment vertical="top" wrapText="1"/>
    </xf>
    <xf numFmtId="0" fontId="15" fillId="10" borderId="38" xfId="0" applyFont="1" applyFill="1" applyBorder="1" applyAlignment="1">
      <alignment vertical="top" wrapText="1"/>
    </xf>
    <xf numFmtId="0" fontId="15" fillId="10" borderId="39" xfId="0" applyFont="1" applyFill="1" applyBorder="1" applyAlignment="1">
      <alignment vertical="top" wrapText="1"/>
    </xf>
    <xf numFmtId="0" fontId="15" fillId="10" borderId="40" xfId="0" applyFont="1" applyFill="1" applyBorder="1" applyAlignment="1">
      <alignment vertical="top" wrapText="1"/>
    </xf>
    <xf numFmtId="0" fontId="15" fillId="10" borderId="41" xfId="0" applyFont="1" applyFill="1" applyBorder="1" applyAlignment="1">
      <alignment vertical="top" wrapText="1"/>
    </xf>
    <xf numFmtId="0" fontId="1" fillId="14" borderId="33" xfId="0" applyFont="1" applyFill="1" applyBorder="1" applyAlignment="1">
      <alignment vertical="center" wrapText="1"/>
    </xf>
    <xf numFmtId="0" fontId="15" fillId="15" borderId="34" xfId="0" applyFont="1" applyFill="1" applyBorder="1"/>
    <xf numFmtId="0" fontId="15" fillId="15" borderId="37" xfId="0" applyFont="1" applyFill="1" applyBorder="1"/>
    <xf numFmtId="0" fontId="15" fillId="15" borderId="39" xfId="0" applyFont="1" applyFill="1" applyBorder="1"/>
    <xf numFmtId="0" fontId="15" fillId="15" borderId="34" xfId="0" applyFont="1" applyFill="1" applyBorder="1" applyAlignment="1">
      <alignment vertical="center"/>
    </xf>
    <xf numFmtId="0" fontId="15" fillId="15" borderId="37" xfId="0" applyFont="1" applyFill="1" applyBorder="1" applyAlignment="1">
      <alignment vertical="center"/>
    </xf>
    <xf numFmtId="0" fontId="15" fillId="15" borderId="39" xfId="0" applyFont="1" applyFill="1" applyBorder="1" applyAlignment="1">
      <alignment vertical="center"/>
    </xf>
    <xf numFmtId="3" fontId="15" fillId="15" borderId="34" xfId="0" applyNumberFormat="1" applyFont="1" applyFill="1" applyBorder="1" applyAlignment="1">
      <alignment horizontal="right" vertical="center"/>
    </xf>
    <xf numFmtId="165" fontId="15" fillId="15" borderId="35" xfId="0" applyNumberFormat="1" applyFont="1" applyFill="1" applyBorder="1" applyAlignment="1">
      <alignment horizontal="right" vertical="center"/>
    </xf>
    <xf numFmtId="167" fontId="15" fillId="15" borderId="35" xfId="0" applyNumberFormat="1" applyFont="1" applyFill="1" applyBorder="1" applyAlignment="1">
      <alignment horizontal="right" vertical="center"/>
    </xf>
    <xf numFmtId="3" fontId="15" fillId="15" borderId="37" xfId="0" applyNumberFormat="1" applyFont="1" applyFill="1" applyBorder="1" applyAlignment="1">
      <alignment horizontal="right" vertical="center"/>
    </xf>
    <xf numFmtId="165" fontId="15" fillId="15" borderId="33" xfId="0" applyNumberFormat="1" applyFont="1" applyFill="1" applyBorder="1" applyAlignment="1">
      <alignment horizontal="right" vertical="center"/>
    </xf>
    <xf numFmtId="167" fontId="15" fillId="15" borderId="33" xfId="0" applyNumberFormat="1" applyFont="1" applyFill="1" applyBorder="1" applyAlignment="1">
      <alignment horizontal="right" vertical="center"/>
    </xf>
    <xf numFmtId="3" fontId="15" fillId="15" borderId="39" xfId="0" applyNumberFormat="1" applyFont="1" applyFill="1" applyBorder="1" applyAlignment="1">
      <alignment horizontal="right" vertical="center"/>
    </xf>
    <xf numFmtId="165" fontId="15" fillId="15" borderId="40" xfId="0" applyNumberFormat="1" applyFont="1" applyFill="1" applyBorder="1" applyAlignment="1">
      <alignment horizontal="right" vertical="center"/>
    </xf>
    <xf numFmtId="167" fontId="15" fillId="15" borderId="40" xfId="0" applyNumberFormat="1" applyFont="1" applyFill="1" applyBorder="1" applyAlignment="1">
      <alignment horizontal="right" vertical="center"/>
    </xf>
    <xf numFmtId="0" fontId="15" fillId="15" borderId="36" xfId="0" applyFont="1" applyFill="1" applyBorder="1" applyAlignment="1">
      <alignment vertical="center" wrapText="1"/>
    </xf>
    <xf numFmtId="0" fontId="15" fillId="15" borderId="38" xfId="0" applyFont="1" applyFill="1" applyBorder="1" applyAlignment="1">
      <alignment vertical="center" wrapText="1"/>
    </xf>
    <xf numFmtId="0" fontId="15" fillId="15" borderId="41" xfId="0" applyFont="1" applyFill="1" applyBorder="1" applyAlignment="1">
      <alignment vertical="center" wrapText="1"/>
    </xf>
    <xf numFmtId="0" fontId="17" fillId="12" borderId="33" xfId="0" applyFont="1" applyFill="1" applyBorder="1" applyAlignment="1">
      <alignment vertical="center" wrapText="1"/>
    </xf>
    <xf numFmtId="3" fontId="15" fillId="15" borderId="35" xfId="0" applyNumberFormat="1" applyFont="1" applyFill="1" applyBorder="1" applyAlignment="1">
      <alignment horizontal="right" vertical="center"/>
    </xf>
    <xf numFmtId="166" fontId="15" fillId="15" borderId="36" xfId="0" applyNumberFormat="1" applyFont="1" applyFill="1" applyBorder="1" applyAlignment="1">
      <alignment horizontal="right" vertical="center"/>
    </xf>
    <xf numFmtId="3" fontId="15" fillId="15" borderId="33" xfId="0" applyNumberFormat="1" applyFont="1" applyFill="1" applyBorder="1" applyAlignment="1">
      <alignment horizontal="right" vertical="center"/>
    </xf>
    <xf numFmtId="166" fontId="15" fillId="15" borderId="38" xfId="0" applyNumberFormat="1" applyFont="1" applyFill="1" applyBorder="1" applyAlignment="1">
      <alignment horizontal="right" vertical="center"/>
    </xf>
    <xf numFmtId="3" fontId="15" fillId="15" borderId="40" xfId="0" applyNumberFormat="1" applyFont="1" applyFill="1" applyBorder="1" applyAlignment="1">
      <alignment horizontal="right" vertical="center"/>
    </xf>
    <xf numFmtId="166" fontId="15" fillId="15" borderId="41" xfId="0" applyNumberFormat="1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17" fillId="12" borderId="33" xfId="0" applyFont="1" applyFill="1" applyBorder="1" applyAlignment="1">
      <alignment horizontal="right" vertical="center" wrapText="1"/>
    </xf>
    <xf numFmtId="0" fontId="1" fillId="16" borderId="33" xfId="0" applyFont="1" applyFill="1" applyBorder="1"/>
    <xf numFmtId="165" fontId="15" fillId="15" borderId="36" xfId="0" applyNumberFormat="1" applyFont="1" applyFill="1" applyBorder="1"/>
    <xf numFmtId="165" fontId="15" fillId="15" borderId="38" xfId="0" applyNumberFormat="1" applyFont="1" applyFill="1" applyBorder="1"/>
    <xf numFmtId="165" fontId="15" fillId="15" borderId="41" xfId="0" applyNumberFormat="1" applyFont="1" applyFill="1" applyBorder="1"/>
    <xf numFmtId="0" fontId="2" fillId="2" borderId="0" xfId="0" applyFont="1" applyFill="1" applyAlignment="1">
      <alignment horizontal="left" vertical="center"/>
    </xf>
    <xf numFmtId="0" fontId="4" fillId="3" borderId="0" xfId="0" applyFont="1" applyFill="1"/>
    <xf numFmtId="0" fontId="5" fillId="4" borderId="1" xfId="0" applyFont="1" applyFill="1" applyBorder="1" applyAlignment="1">
      <alignment vertical="center" wrapText="1"/>
    </xf>
    <xf numFmtId="0" fontId="5" fillId="4" borderId="2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vertical="center" wrapText="1"/>
    </xf>
    <xf numFmtId="0" fontId="5" fillId="4" borderId="4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vertical="center" wrapText="1"/>
    </xf>
    <xf numFmtId="0" fontId="5" fillId="4" borderId="6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vertical="center" wrapText="1"/>
    </xf>
    <xf numFmtId="0" fontId="6" fillId="5" borderId="3" xfId="0" applyFont="1" applyFill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6" fillId="5" borderId="6" xfId="0" applyFont="1" applyFill="1" applyBorder="1" applyAlignment="1">
      <alignment vertical="center" wrapText="1"/>
    </xf>
    <xf numFmtId="0" fontId="7" fillId="6" borderId="0" xfId="0" applyFont="1" applyFill="1"/>
    <xf numFmtId="0" fontId="5" fillId="7" borderId="13" xfId="0" applyFont="1" applyFill="1" applyBorder="1" applyAlignment="1">
      <alignment vertical="center" wrapText="1"/>
    </xf>
    <xf numFmtId="0" fontId="5" fillId="7" borderId="14" xfId="0" applyFont="1" applyFill="1" applyBorder="1" applyAlignment="1">
      <alignment vertical="center" wrapText="1"/>
    </xf>
    <xf numFmtId="0" fontId="5" fillId="7" borderId="15" xfId="0" applyFont="1" applyFill="1" applyBorder="1" applyAlignment="1">
      <alignment vertical="center" wrapText="1"/>
    </xf>
    <xf numFmtId="0" fontId="5" fillId="7" borderId="1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7" xfId="0" applyFont="1" applyFill="1" applyBorder="1" applyAlignment="1">
      <alignment vertical="center" wrapText="1"/>
    </xf>
    <xf numFmtId="0" fontId="5" fillId="7" borderId="18" xfId="0" applyFont="1" applyFill="1" applyBorder="1" applyAlignment="1">
      <alignment vertical="center" wrapText="1"/>
    </xf>
    <xf numFmtId="0" fontId="5" fillId="7" borderId="19" xfId="0" applyFont="1" applyFill="1" applyBorder="1" applyAlignment="1">
      <alignment vertical="center" wrapText="1"/>
    </xf>
    <xf numFmtId="0" fontId="5" fillId="7" borderId="20" xfId="0" applyFont="1" applyFill="1" applyBorder="1" applyAlignment="1">
      <alignment vertical="center" wrapText="1"/>
    </xf>
    <xf numFmtId="0" fontId="8" fillId="0" borderId="0" xfId="0" applyFont="1"/>
    <xf numFmtId="0" fontId="9" fillId="2" borderId="0" xfId="0" applyFont="1" applyFill="1" applyAlignment="1">
      <alignment vertical="center"/>
    </xf>
    <xf numFmtId="0" fontId="10" fillId="7" borderId="21" xfId="0" applyFont="1" applyFill="1" applyBorder="1"/>
    <xf numFmtId="0" fontId="10" fillId="7" borderId="22" xfId="0" applyFont="1" applyFill="1" applyBorder="1"/>
    <xf numFmtId="0" fontId="10" fillId="7" borderId="23" xfId="0" applyFont="1" applyFill="1" applyBorder="1"/>
    <xf numFmtId="0" fontId="13" fillId="12" borderId="0" xfId="0" applyFont="1" applyFill="1" applyAlignment="1">
      <alignment vertical="center"/>
    </xf>
    <xf numFmtId="0" fontId="14" fillId="13" borderId="0" xfId="0" applyFont="1" applyFill="1" applyAlignment="1">
      <alignment vertical="center" wrapText="1"/>
    </xf>
    <xf numFmtId="0" fontId="13" fillId="8" borderId="0" xfId="0" applyFont="1" applyFill="1" applyAlignment="1">
      <alignment vertical="center"/>
    </xf>
    <xf numFmtId="0" fontId="1" fillId="16" borderId="0" xfId="0" applyFont="1" applyFill="1" applyAlignment="1">
      <alignment vertical="center"/>
    </xf>
    <xf numFmtId="0" fontId="1" fillId="16" borderId="0" xfId="0" applyFont="1" applyFill="1" applyAlignment="1">
      <alignment horizontal="right" vertical="center"/>
    </xf>
    <xf numFmtId="0" fontId="1" fillId="12" borderId="33" xfId="0" applyFont="1" applyFill="1" applyBorder="1" applyAlignment="1">
      <alignment vertical="center"/>
    </xf>
    <xf numFmtId="0" fontId="15" fillId="17" borderId="33" xfId="0" applyFont="1" applyFill="1" applyBorder="1" applyAlignment="1">
      <alignment vertical="top" wrapText="1"/>
    </xf>
  </cellXfs>
  <cellStyles count="1">
    <cellStyle name="Normal" xfId="0" builtinId="0"/>
  </cellStyles>
  <dxfs count="2">
    <dxf>
      <font>
        <b/>
        <color rgb="FF8B1E2D"/>
      </font>
      <fill>
        <patternFill>
          <bgColor rgb="FFF8D7DA"/>
        </patternFill>
      </fill>
    </dxf>
    <dxf>
      <font>
        <b/>
        <color rgb="FF8B1E2D"/>
      </font>
      <fill>
        <patternFill patternType="solid">
          <bgColor rgb="FFF8D7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/>
          <a:lstStyle/>
          <a:p>
            <a:r>
              <a:rPr lang="en-GB" sz="900"/>
              <a:t>Average net revenue per known-revenue session by course (US$)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Average net revenue</c:v>
          </c:tx>
          <c:invertIfNegative val="1"/>
          <c:cat>
            <c:strRef>
              <c:f>Analysis!$J$23:$J$26</c:f>
              <c:strCache>
                <c:ptCount val="4"/>
                <c:pt idx="0">
                  <c:v>Excel Essentials</c:v>
                </c:pt>
                <c:pt idx="1">
                  <c:v>Present with Confidence</c:v>
                </c:pt>
                <c:pt idx="2">
                  <c:v>AI at Work</c:v>
                </c:pt>
                <c:pt idx="3">
                  <c:v>Project Planning</c:v>
                </c:pt>
              </c:strCache>
            </c:strRef>
          </c:cat>
          <c:val>
            <c:numRef>
              <c:f>Analysis!$K$23:$K$26</c:f>
              <c:numCache>
                <c:formatCode>"US$"#,##0</c:formatCode>
                <c:ptCount val="4"/>
                <c:pt idx="0">
                  <c:v>1382.1428571428571</c:v>
                </c:pt>
                <c:pt idx="1">
                  <c:v>1538.5714285714287</c:v>
                </c:pt>
                <c:pt idx="2">
                  <c:v>1827.1428571428571</c:v>
                </c:pt>
                <c:pt idx="3">
                  <c:v>1967.5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19-43D1-A258-533CAFD95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&quot;US$&quot;#,##0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12</xdr:col>
      <xdr:colOff>1047750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orkshopSessionsTable" displayName="WorkshopSessionsTable" ref="A5:L34" totalsRowShown="0">
  <tableColumns count="12">
    <tableColumn id="1" xr3:uid="{00000000-0010-0000-0000-000001000000}" name="Session ID"/>
    <tableColumn id="2" xr3:uid="{00000000-0010-0000-0000-000002000000}" name="Session date"/>
    <tableColumn id="3" xr3:uid="{00000000-0010-0000-0000-000003000000}" name="Course"/>
    <tableColumn id="4" xr3:uid="{00000000-0010-0000-0000-000004000000}" name="Delivery format"/>
    <tableColumn id="5" xr3:uid="{00000000-0010-0000-0000-000005000000}" name="Location"/>
    <tableColumn id="6" xr3:uid="{00000000-0010-0000-0000-000006000000}" name="Capacity"/>
    <tableColumn id="7" xr3:uid="{00000000-0010-0000-0000-000007000000}" name="Bookings"/>
    <tableColumn id="8" xr3:uid="{00000000-0010-0000-0000-000008000000}" name="No-shows"/>
    <tableColumn id="9" xr3:uid="{00000000-0010-0000-0000-000009000000}" name="Fee per attendee"/>
    <tableColumn id="10" xr3:uid="{00000000-0010-0000-0000-00000A000000}" name="Refunds"/>
    <tableColumn id="11" xr3:uid="{00000000-0010-0000-0000-00000B000000}" name="Satisfaction (1-5)"/>
    <tableColumn id="12" xr3:uid="{00000000-0010-0000-0000-00000C000000}" name="Session 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showGridLines="0" workbookViewId="0"/>
  </sheetViews>
  <sheetFormatPr defaultRowHeight="14"/>
  <cols>
    <col min="1" max="1" width="21" customWidth="1"/>
    <col min="2" max="2" width="31" customWidth="1"/>
    <col min="3" max="3" width="35" customWidth="1"/>
    <col min="4" max="4" width="3" customWidth="1"/>
    <col min="5" max="8" width="18" customWidth="1"/>
  </cols>
  <sheetData>
    <row r="1" spans="1:8">
      <c r="A1" s="100" t="s">
        <v>0</v>
      </c>
      <c r="B1" s="100"/>
      <c r="C1" s="100"/>
      <c r="D1" s="100"/>
      <c r="E1" s="100"/>
      <c r="F1" s="100"/>
      <c r="G1" s="100"/>
      <c r="H1" s="100"/>
    </row>
    <row r="2" spans="1:8">
      <c r="A2" s="100"/>
      <c r="B2" s="100"/>
      <c r="C2" s="100"/>
      <c r="D2" s="100"/>
      <c r="E2" s="100"/>
      <c r="F2" s="100"/>
      <c r="G2" s="100"/>
      <c r="H2" s="100"/>
    </row>
    <row r="3" spans="1:8" ht="10" customHeight="1">
      <c r="A3" s="1"/>
      <c r="B3" s="1"/>
      <c r="C3" s="1"/>
      <c r="D3" s="1"/>
      <c r="E3" s="1"/>
      <c r="F3" s="1"/>
      <c r="G3" s="1"/>
      <c r="H3" s="1"/>
    </row>
    <row r="4" spans="1:8" ht="16">
      <c r="A4" s="101" t="s">
        <v>1</v>
      </c>
      <c r="B4" s="101"/>
      <c r="C4" s="101"/>
      <c r="D4" s="101"/>
      <c r="E4" s="101"/>
      <c r="F4" s="101"/>
      <c r="G4" s="101"/>
      <c r="H4" s="101"/>
    </row>
    <row r="5" spans="1:8" ht="29" customHeight="1">
      <c r="A5" s="102" t="s">
        <v>2</v>
      </c>
      <c r="B5" s="103"/>
      <c r="C5" s="103"/>
      <c r="D5" s="103"/>
      <c r="E5" s="103"/>
      <c r="F5" s="103"/>
      <c r="G5" s="103"/>
      <c r="H5" s="104"/>
    </row>
    <row r="6" spans="1:8" ht="29" customHeight="1">
      <c r="A6" s="105"/>
      <c r="B6" s="106"/>
      <c r="C6" s="106"/>
      <c r="D6" s="106"/>
      <c r="E6" s="106"/>
      <c r="F6" s="106"/>
      <c r="G6" s="106"/>
      <c r="H6" s="107"/>
    </row>
    <row r="7" spans="1:8" ht="14.5">
      <c r="A7" s="1"/>
      <c r="B7" s="1"/>
      <c r="C7" s="1"/>
      <c r="D7" s="1"/>
      <c r="E7" s="1"/>
      <c r="F7" s="1"/>
      <c r="G7" s="1"/>
      <c r="H7" s="1"/>
    </row>
    <row r="8" spans="1:8" ht="16">
      <c r="A8" s="101" t="s">
        <v>3</v>
      </c>
      <c r="B8" s="101"/>
      <c r="C8" s="101"/>
      <c r="D8" s="101"/>
      <c r="E8" s="101"/>
      <c r="F8" s="101"/>
      <c r="G8" s="101"/>
      <c r="H8" s="101"/>
    </row>
    <row r="9" spans="1:8" ht="29" customHeight="1">
      <c r="A9" s="108" t="s">
        <v>4</v>
      </c>
      <c r="B9" s="109"/>
      <c r="C9" s="109"/>
      <c r="D9" s="109"/>
      <c r="E9" s="109"/>
      <c r="F9" s="109"/>
      <c r="G9" s="109"/>
      <c r="H9" s="110"/>
    </row>
    <row r="10" spans="1:8" ht="29" customHeight="1">
      <c r="A10" s="111"/>
      <c r="B10" s="112"/>
      <c r="C10" s="112"/>
      <c r="D10" s="112"/>
      <c r="E10" s="112"/>
      <c r="F10" s="112"/>
      <c r="G10" s="112"/>
      <c r="H10" s="113"/>
    </row>
    <row r="11" spans="1:8" ht="14.5">
      <c r="A11" s="1"/>
      <c r="B11" s="1"/>
      <c r="C11" s="1"/>
      <c r="D11" s="1"/>
      <c r="E11" s="1"/>
      <c r="F11" s="1"/>
      <c r="G11" s="1"/>
      <c r="H11" s="1"/>
    </row>
    <row r="12" spans="1:8" ht="14.5">
      <c r="A12" s="5" t="s">
        <v>5</v>
      </c>
      <c r="B12" s="6" t="s">
        <v>6</v>
      </c>
      <c r="C12" s="7" t="s">
        <v>7</v>
      </c>
      <c r="D12" s="1"/>
      <c r="E12" s="114" t="s">
        <v>8</v>
      </c>
      <c r="F12" s="114"/>
      <c r="G12" s="114"/>
      <c r="H12" s="114"/>
    </row>
    <row r="13" spans="1:8" ht="29" customHeight="1">
      <c r="A13" s="2" t="s">
        <v>9</v>
      </c>
      <c r="B13" s="3" t="s">
        <v>10</v>
      </c>
      <c r="C13" s="4" t="s">
        <v>11</v>
      </c>
      <c r="D13" s="1"/>
      <c r="E13" s="115" t="s">
        <v>12</v>
      </c>
      <c r="F13" s="116"/>
      <c r="G13" s="116"/>
      <c r="H13" s="117"/>
    </row>
    <row r="14" spans="1:8" ht="29" customHeight="1">
      <c r="A14" s="8" t="s">
        <v>13</v>
      </c>
      <c r="B14" s="9" t="s">
        <v>14</v>
      </c>
      <c r="C14" s="10" t="s">
        <v>15</v>
      </c>
      <c r="D14" s="1"/>
      <c r="E14" s="118"/>
      <c r="F14" s="119"/>
      <c r="G14" s="119"/>
      <c r="H14" s="120"/>
    </row>
    <row r="15" spans="1:8" ht="29" customHeight="1">
      <c r="A15" s="8" t="s">
        <v>16</v>
      </c>
      <c r="B15" s="9" t="s">
        <v>17</v>
      </c>
      <c r="C15" s="10" t="s">
        <v>18</v>
      </c>
      <c r="D15" s="1"/>
      <c r="E15" s="118"/>
      <c r="F15" s="119"/>
      <c r="G15" s="119"/>
      <c r="H15" s="120"/>
    </row>
    <row r="16" spans="1:8" ht="29" customHeight="1">
      <c r="A16" s="8" t="s">
        <v>19</v>
      </c>
      <c r="B16" s="9" t="s">
        <v>20</v>
      </c>
      <c r="C16" s="10" t="s">
        <v>21</v>
      </c>
      <c r="D16" s="1"/>
      <c r="E16" s="121"/>
      <c r="F16" s="122"/>
      <c r="G16" s="122"/>
      <c r="H16" s="123"/>
    </row>
    <row r="17" spans="1:8" ht="14.5">
      <c r="A17" s="1"/>
      <c r="B17" s="1"/>
      <c r="C17" s="1"/>
      <c r="D17" s="1"/>
      <c r="E17" s="1"/>
      <c r="F17" s="1"/>
      <c r="G17" s="1"/>
      <c r="H17" s="1"/>
    </row>
    <row r="18" spans="1:8">
      <c r="A18" s="124" t="s">
        <v>22</v>
      </c>
      <c r="B18" s="124"/>
      <c r="C18" s="124"/>
      <c r="D18" s="124"/>
      <c r="E18" s="124"/>
      <c r="F18" s="124"/>
      <c r="G18" s="124"/>
      <c r="H18" s="124"/>
    </row>
  </sheetData>
  <mergeCells count="8">
    <mergeCell ref="E12:H12"/>
    <mergeCell ref="E13:H16"/>
    <mergeCell ref="A18:H18"/>
    <mergeCell ref="A1:H2"/>
    <mergeCell ref="A4:H4"/>
    <mergeCell ref="A5:H6"/>
    <mergeCell ref="A8:H8"/>
    <mergeCell ref="A9:H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4"/>
  <sheetViews>
    <sheetView showGridLines="0" workbookViewId="0"/>
  </sheetViews>
  <sheetFormatPr defaultRowHeight="14"/>
  <cols>
    <col min="1" max="1" width="12" customWidth="1"/>
    <col min="2" max="2" width="15" customWidth="1"/>
    <col min="3" max="3" width="24" customWidth="1"/>
    <col min="4" max="4" width="18" customWidth="1"/>
    <col min="5" max="5" width="14" customWidth="1"/>
    <col min="6" max="8" width="11" customWidth="1"/>
    <col min="9" max="9" width="18" customWidth="1"/>
    <col min="10" max="10" width="12" customWidth="1"/>
    <col min="11" max="11" width="18" customWidth="1"/>
    <col min="12" max="12" width="38" customWidth="1"/>
  </cols>
  <sheetData>
    <row r="1" spans="1:12" ht="27" customHeight="1">
      <c r="A1" s="125" t="s">
        <v>23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</row>
    <row r="2" spans="1:12" ht="27" customHeight="1">
      <c r="A2" s="125"/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</row>
    <row r="3" spans="1:12" ht="26" customHeight="1">
      <c r="A3" s="126" t="s">
        <v>24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28"/>
    </row>
    <row r="4" spans="1:12" ht="8" customHeight="1"/>
    <row r="5" spans="1:12" ht="38" customHeight="1">
      <c r="A5" s="11" t="s">
        <v>25</v>
      </c>
      <c r="B5" s="12" t="s">
        <v>26</v>
      </c>
      <c r="C5" s="12" t="s">
        <v>27</v>
      </c>
      <c r="D5" s="12" t="s">
        <v>28</v>
      </c>
      <c r="E5" s="12" t="s">
        <v>29</v>
      </c>
      <c r="F5" s="12" t="s">
        <v>30</v>
      </c>
      <c r="G5" s="12" t="s">
        <v>31</v>
      </c>
      <c r="H5" s="12" t="s">
        <v>32</v>
      </c>
      <c r="I5" s="12" t="s">
        <v>33</v>
      </c>
      <c r="J5" s="12" t="s">
        <v>34</v>
      </c>
      <c r="K5" s="12" t="s">
        <v>35</v>
      </c>
      <c r="L5" s="13" t="s">
        <v>36</v>
      </c>
    </row>
    <row r="6" spans="1:12" ht="27" customHeight="1">
      <c r="A6" s="17" t="s">
        <v>37</v>
      </c>
      <c r="B6" s="18">
        <v>46115.5</v>
      </c>
      <c r="C6" s="19" t="s">
        <v>38</v>
      </c>
      <c r="D6" s="19" t="s">
        <v>39</v>
      </c>
      <c r="E6" s="19" t="s">
        <v>40</v>
      </c>
      <c r="F6" s="20">
        <v>24</v>
      </c>
      <c r="G6" s="20">
        <v>22</v>
      </c>
      <c r="H6" s="20">
        <v>2</v>
      </c>
      <c r="I6" s="21">
        <v>85</v>
      </c>
      <c r="J6" s="21">
        <v>85</v>
      </c>
      <c r="K6" s="22">
        <v>4.5999999999999996</v>
      </c>
      <c r="L6" s="14" t="s">
        <v>41</v>
      </c>
    </row>
    <row r="7" spans="1:12" ht="27" customHeight="1">
      <c r="A7" s="23" t="s">
        <v>42</v>
      </c>
      <c r="B7" s="24">
        <v>46119.5</v>
      </c>
      <c r="C7" s="25" t="s">
        <v>43</v>
      </c>
      <c r="D7" s="25" t="s">
        <v>44</v>
      </c>
      <c r="E7" s="25" t="s">
        <v>45</v>
      </c>
      <c r="F7" s="26">
        <v>18</v>
      </c>
      <c r="G7" s="26">
        <v>16</v>
      </c>
      <c r="H7" s="26">
        <v>1</v>
      </c>
      <c r="I7" s="27">
        <v>75</v>
      </c>
      <c r="J7" s="27">
        <v>0</v>
      </c>
      <c r="K7" s="28">
        <v>4.4000000000000004</v>
      </c>
      <c r="L7" s="15"/>
    </row>
    <row r="8" spans="1:12" ht="27" customHeight="1">
      <c r="A8" s="23" t="s">
        <v>46</v>
      </c>
      <c r="B8" s="24">
        <v>46122.5</v>
      </c>
      <c r="C8" s="25" t="s">
        <v>47</v>
      </c>
      <c r="D8" s="25" t="s">
        <v>39</v>
      </c>
      <c r="E8" s="25" t="s">
        <v>40</v>
      </c>
      <c r="F8" s="26">
        <v>24</v>
      </c>
      <c r="G8" s="26">
        <v>18</v>
      </c>
      <c r="H8" s="26">
        <v>4</v>
      </c>
      <c r="I8" s="27">
        <v>95</v>
      </c>
      <c r="J8" s="27">
        <v>190</v>
      </c>
      <c r="K8" s="28">
        <v>4.0999999999999996</v>
      </c>
      <c r="L8" s="15" t="s">
        <v>48</v>
      </c>
    </row>
    <row r="9" spans="1:12" ht="27" customHeight="1">
      <c r="A9" s="23" t="s">
        <v>49</v>
      </c>
      <c r="B9" s="24">
        <v>46126.5</v>
      </c>
      <c r="C9" s="25" t="s">
        <v>50</v>
      </c>
      <c r="D9" s="25" t="s">
        <v>44</v>
      </c>
      <c r="E9" s="25" t="s">
        <v>51</v>
      </c>
      <c r="F9" s="26">
        <v>16</v>
      </c>
      <c r="G9" s="26">
        <v>13</v>
      </c>
      <c r="H9" s="26">
        <v>1</v>
      </c>
      <c r="I9" s="27">
        <v>110</v>
      </c>
      <c r="J9" s="27">
        <v>0</v>
      </c>
      <c r="K9" s="28">
        <v>4.8</v>
      </c>
      <c r="L9" s="15" t="s">
        <v>52</v>
      </c>
    </row>
    <row r="10" spans="1:12" ht="27" customHeight="1">
      <c r="A10" s="23" t="s">
        <v>53</v>
      </c>
      <c r="B10" s="24">
        <v>46130.5</v>
      </c>
      <c r="C10" s="25" t="s">
        <v>54</v>
      </c>
      <c r="D10" s="25" t="s">
        <v>55</v>
      </c>
      <c r="E10" s="25" t="s">
        <v>56</v>
      </c>
      <c r="F10" s="26">
        <v>20</v>
      </c>
      <c r="G10" s="26">
        <v>19</v>
      </c>
      <c r="H10" s="26">
        <v>2</v>
      </c>
      <c r="I10" s="27">
        <v>95</v>
      </c>
      <c r="J10" s="27">
        <v>95</v>
      </c>
      <c r="K10" s="28">
        <v>4.7</v>
      </c>
      <c r="L10" s="15"/>
    </row>
    <row r="11" spans="1:12" ht="27" customHeight="1">
      <c r="A11" s="23" t="s">
        <v>57</v>
      </c>
      <c r="B11" s="24">
        <v>46134.5</v>
      </c>
      <c r="C11" s="25" t="s">
        <v>43</v>
      </c>
      <c r="D11" s="25" t="s">
        <v>39</v>
      </c>
      <c r="E11" s="25" t="s">
        <v>58</v>
      </c>
      <c r="F11" s="26">
        <v>30</v>
      </c>
      <c r="G11" s="26">
        <v>25</v>
      </c>
      <c r="H11" s="26">
        <v>5</v>
      </c>
      <c r="I11" s="27">
        <v>65</v>
      </c>
      <c r="J11" s="27">
        <v>65</v>
      </c>
      <c r="K11" s="28">
        <v>4</v>
      </c>
      <c r="L11" s="15" t="s">
        <v>59</v>
      </c>
    </row>
    <row r="12" spans="1:12" ht="27" customHeight="1">
      <c r="A12" s="23" t="s">
        <v>60</v>
      </c>
      <c r="B12" s="24">
        <v>46137.5</v>
      </c>
      <c r="C12" s="25" t="s">
        <v>47</v>
      </c>
      <c r="D12" s="25" t="s">
        <v>44</v>
      </c>
      <c r="E12" s="25" t="s">
        <v>45</v>
      </c>
      <c r="F12" s="26">
        <v>18</v>
      </c>
      <c r="G12" s="26">
        <v>17</v>
      </c>
      <c r="H12" s="26">
        <v>1</v>
      </c>
      <c r="I12" s="27">
        <v>120</v>
      </c>
      <c r="J12" s="27"/>
      <c r="K12" s="28">
        <v>4.5</v>
      </c>
      <c r="L12" s="15" t="s">
        <v>61</v>
      </c>
    </row>
    <row r="13" spans="1:12" ht="27" customHeight="1">
      <c r="A13" s="23" t="s">
        <v>62</v>
      </c>
      <c r="B13" s="24">
        <v>46141.5</v>
      </c>
      <c r="C13" s="25" t="s">
        <v>50</v>
      </c>
      <c r="D13" s="25" t="s">
        <v>39</v>
      </c>
      <c r="E13" s="25" t="s">
        <v>40</v>
      </c>
      <c r="F13" s="26">
        <v>24</v>
      </c>
      <c r="G13" s="26">
        <v>15</v>
      </c>
      <c r="H13" s="26">
        <v>3</v>
      </c>
      <c r="I13" s="27">
        <v>90</v>
      </c>
      <c r="J13" s="27">
        <v>0</v>
      </c>
      <c r="K13" s="28">
        <v>4.2</v>
      </c>
      <c r="L13" s="15"/>
    </row>
    <row r="14" spans="1:12" ht="27" customHeight="1">
      <c r="A14" s="23" t="s">
        <v>63</v>
      </c>
      <c r="B14" s="24">
        <v>46144.5</v>
      </c>
      <c r="C14" s="25" t="s">
        <v>38</v>
      </c>
      <c r="D14" s="25" t="s">
        <v>39</v>
      </c>
      <c r="E14" s="25" t="s">
        <v>40</v>
      </c>
      <c r="F14" s="26">
        <v>24</v>
      </c>
      <c r="G14" s="26">
        <v>24</v>
      </c>
      <c r="H14" s="26">
        <v>1</v>
      </c>
      <c r="I14" s="27">
        <v>85</v>
      </c>
      <c r="J14" s="27">
        <v>0</v>
      </c>
      <c r="K14" s="28">
        <v>4.8</v>
      </c>
      <c r="L14" s="15" t="s">
        <v>64</v>
      </c>
    </row>
    <row r="15" spans="1:12" ht="27" customHeight="1">
      <c r="A15" s="23" t="s">
        <v>65</v>
      </c>
      <c r="B15" s="24">
        <v>46148.5</v>
      </c>
      <c r="C15" s="25" t="s">
        <v>66</v>
      </c>
      <c r="D15" s="25" t="s">
        <v>44</v>
      </c>
      <c r="E15" s="25" t="s">
        <v>51</v>
      </c>
      <c r="F15" s="26">
        <v>18</v>
      </c>
      <c r="G15" s="26">
        <v>15</v>
      </c>
      <c r="H15" s="26">
        <v>2</v>
      </c>
      <c r="I15" s="27">
        <v>80</v>
      </c>
      <c r="J15" s="27">
        <v>80</v>
      </c>
      <c r="K15" s="28">
        <v>4.3</v>
      </c>
      <c r="L15" s="15"/>
    </row>
    <row r="16" spans="1:12" ht="27" customHeight="1">
      <c r="A16" s="23" t="s">
        <v>67</v>
      </c>
      <c r="B16" s="24">
        <v>46151.5</v>
      </c>
      <c r="C16" s="25" t="s">
        <v>47</v>
      </c>
      <c r="D16" s="25" t="s">
        <v>39</v>
      </c>
      <c r="E16" s="25" t="s">
        <v>40</v>
      </c>
      <c r="F16" s="26">
        <v>24</v>
      </c>
      <c r="G16" s="26">
        <v>20</v>
      </c>
      <c r="H16" s="26">
        <v>2</v>
      </c>
      <c r="I16" s="27">
        <v>95</v>
      </c>
      <c r="J16" s="27">
        <v>0</v>
      </c>
      <c r="K16" s="28"/>
      <c r="L16" s="15" t="s">
        <v>68</v>
      </c>
    </row>
    <row r="17" spans="1:12" ht="27" customHeight="1">
      <c r="A17" s="23" t="s">
        <v>69</v>
      </c>
      <c r="B17" s="24">
        <v>46155.5</v>
      </c>
      <c r="C17" s="25" t="s">
        <v>50</v>
      </c>
      <c r="D17" s="25" t="s">
        <v>44</v>
      </c>
      <c r="E17" s="25" t="s">
        <v>45</v>
      </c>
      <c r="F17" s="26">
        <v>16</v>
      </c>
      <c r="G17" s="26">
        <v>15</v>
      </c>
      <c r="H17" s="26">
        <v>0</v>
      </c>
      <c r="I17" s="27">
        <v>110</v>
      </c>
      <c r="J17" s="27">
        <v>0</v>
      </c>
      <c r="K17" s="28">
        <v>4.9000000000000004</v>
      </c>
      <c r="L17" s="15" t="s">
        <v>70</v>
      </c>
    </row>
    <row r="18" spans="1:12" ht="27" customHeight="1">
      <c r="A18" s="23" t="s">
        <v>71</v>
      </c>
      <c r="B18" s="24">
        <v>46158.5</v>
      </c>
      <c r="C18" s="25" t="s">
        <v>38</v>
      </c>
      <c r="D18" s="25" t="s">
        <v>44</v>
      </c>
      <c r="E18" s="25" t="s">
        <v>56</v>
      </c>
      <c r="F18" s="26">
        <v>20</v>
      </c>
      <c r="G18" s="26">
        <v>18</v>
      </c>
      <c r="H18" s="26">
        <v>1</v>
      </c>
      <c r="I18" s="27">
        <v>95</v>
      </c>
      <c r="J18" s="27">
        <v>0</v>
      </c>
      <c r="K18" s="28">
        <v>4.5999999999999996</v>
      </c>
      <c r="L18" s="15"/>
    </row>
    <row r="19" spans="1:12" ht="27" customHeight="1">
      <c r="A19" s="23" t="s">
        <v>72</v>
      </c>
      <c r="B19" s="24">
        <v>46162.5</v>
      </c>
      <c r="C19" s="25" t="s">
        <v>43</v>
      </c>
      <c r="D19" s="25" t="s">
        <v>39</v>
      </c>
      <c r="E19" s="25" t="s">
        <v>40</v>
      </c>
      <c r="F19" s="26">
        <v>30</v>
      </c>
      <c r="G19" s="26">
        <v>27</v>
      </c>
      <c r="H19" s="26">
        <v>6</v>
      </c>
      <c r="I19" s="27">
        <v>65</v>
      </c>
      <c r="J19" s="27">
        <v>130</v>
      </c>
      <c r="K19" s="28">
        <v>3.9</v>
      </c>
      <c r="L19" s="15" t="s">
        <v>73</v>
      </c>
    </row>
    <row r="20" spans="1:12" ht="27" customHeight="1">
      <c r="A20" s="23" t="s">
        <v>72</v>
      </c>
      <c r="B20" s="24">
        <v>46162.5</v>
      </c>
      <c r="C20" s="25" t="s">
        <v>43</v>
      </c>
      <c r="D20" s="25" t="s">
        <v>39</v>
      </c>
      <c r="E20" s="25" t="s">
        <v>40</v>
      </c>
      <c r="F20" s="26">
        <v>30</v>
      </c>
      <c r="G20" s="26">
        <v>27</v>
      </c>
      <c r="H20" s="26">
        <v>6</v>
      </c>
      <c r="I20" s="27">
        <v>65</v>
      </c>
      <c r="J20" s="27">
        <v>130</v>
      </c>
      <c r="K20" s="28">
        <v>3.9</v>
      </c>
      <c r="L20" s="15" t="s">
        <v>73</v>
      </c>
    </row>
    <row r="21" spans="1:12" ht="27" customHeight="1">
      <c r="A21" s="23" t="s">
        <v>74</v>
      </c>
      <c r="B21" s="24">
        <v>46165.5</v>
      </c>
      <c r="C21" s="25" t="s">
        <v>47</v>
      </c>
      <c r="D21" s="25" t="s">
        <v>44</v>
      </c>
      <c r="E21" s="25" t="s">
        <v>51</v>
      </c>
      <c r="F21" s="26">
        <v>18</v>
      </c>
      <c r="G21" s="26">
        <v>16</v>
      </c>
      <c r="H21" s="26">
        <v>1</v>
      </c>
      <c r="I21" s="27">
        <v>120</v>
      </c>
      <c r="J21" s="27">
        <v>0</v>
      </c>
      <c r="K21" s="28">
        <v>4.5999999999999996</v>
      </c>
      <c r="L21" s="15"/>
    </row>
    <row r="22" spans="1:12" ht="27" customHeight="1">
      <c r="A22" s="23" t="s">
        <v>75</v>
      </c>
      <c r="B22" s="24">
        <v>46170.5</v>
      </c>
      <c r="C22" s="25" t="s">
        <v>50</v>
      </c>
      <c r="D22" s="25" t="s">
        <v>39</v>
      </c>
      <c r="E22" s="25" t="s">
        <v>40</v>
      </c>
      <c r="F22" s="26">
        <v>24</v>
      </c>
      <c r="G22" s="26">
        <v>17</v>
      </c>
      <c r="H22" s="26">
        <v>2</v>
      </c>
      <c r="I22" s="27">
        <v>90</v>
      </c>
      <c r="J22" s="27">
        <v>90</v>
      </c>
      <c r="K22" s="28">
        <v>4.3</v>
      </c>
      <c r="L22" s="15"/>
    </row>
    <row r="23" spans="1:12" ht="27" customHeight="1">
      <c r="A23" s="23" t="s">
        <v>76</v>
      </c>
      <c r="B23" s="24">
        <v>46175.5</v>
      </c>
      <c r="C23" s="25" t="s">
        <v>38</v>
      </c>
      <c r="D23" s="25" t="s">
        <v>39</v>
      </c>
      <c r="E23" s="25" t="s">
        <v>40</v>
      </c>
      <c r="F23" s="26">
        <v>24</v>
      </c>
      <c r="G23" s="26">
        <v>23</v>
      </c>
      <c r="H23" s="26">
        <v>1</v>
      </c>
      <c r="I23" s="27">
        <v>85</v>
      </c>
      <c r="J23" s="27">
        <v>0</v>
      </c>
      <c r="K23" s="28">
        <v>4.7</v>
      </c>
      <c r="L23" s="15"/>
    </row>
    <row r="24" spans="1:12" ht="27" customHeight="1">
      <c r="A24" s="23" t="s">
        <v>77</v>
      </c>
      <c r="B24" s="24">
        <v>46178.5</v>
      </c>
      <c r="C24" s="25" t="s">
        <v>43</v>
      </c>
      <c r="D24" s="25" t="s">
        <v>44</v>
      </c>
      <c r="E24" s="25" t="s">
        <v>45</v>
      </c>
      <c r="F24" s="26">
        <v>18</v>
      </c>
      <c r="G24" s="26">
        <v>17</v>
      </c>
      <c r="H24" s="26">
        <v>0</v>
      </c>
      <c r="I24" s="27">
        <v>80</v>
      </c>
      <c r="J24" s="27">
        <v>0</v>
      </c>
      <c r="K24" s="28">
        <v>4.5</v>
      </c>
      <c r="L24" s="15"/>
    </row>
    <row r="25" spans="1:12" ht="27" customHeight="1">
      <c r="A25" s="23" t="s">
        <v>78</v>
      </c>
      <c r="B25" s="24">
        <v>46182.5</v>
      </c>
      <c r="C25" s="25" t="s">
        <v>47</v>
      </c>
      <c r="D25" s="25" t="s">
        <v>44</v>
      </c>
      <c r="E25" s="25" t="s">
        <v>56</v>
      </c>
      <c r="F25" s="26">
        <v>20</v>
      </c>
      <c r="G25" s="26">
        <v>23</v>
      </c>
      <c r="H25" s="26">
        <v>2</v>
      </c>
      <c r="I25" s="27">
        <v>120</v>
      </c>
      <c r="J25" s="27">
        <v>0</v>
      </c>
      <c r="K25" s="28">
        <v>4.4000000000000004</v>
      </c>
      <c r="L25" s="15" t="s">
        <v>79</v>
      </c>
    </row>
    <row r="26" spans="1:12" ht="27" customHeight="1">
      <c r="A26" s="23" t="s">
        <v>80</v>
      </c>
      <c r="B26" s="24" t="s">
        <v>81</v>
      </c>
      <c r="C26" s="25" t="s">
        <v>50</v>
      </c>
      <c r="D26" s="25" t="s">
        <v>82</v>
      </c>
      <c r="E26" s="25" t="s">
        <v>40</v>
      </c>
      <c r="F26" s="26">
        <v>24</v>
      </c>
      <c r="G26" s="26">
        <v>19</v>
      </c>
      <c r="H26" s="26">
        <v>3</v>
      </c>
      <c r="I26" s="27">
        <v>90</v>
      </c>
      <c r="J26" s="27">
        <v>0</v>
      </c>
      <c r="K26" s="28">
        <v>4.4000000000000004</v>
      </c>
      <c r="L26" s="15" t="s">
        <v>83</v>
      </c>
    </row>
    <row r="27" spans="1:12" ht="27" customHeight="1">
      <c r="A27" s="23" t="s">
        <v>84</v>
      </c>
      <c r="B27" s="24">
        <v>46189.5</v>
      </c>
      <c r="C27" s="25" t="s">
        <v>38</v>
      </c>
      <c r="D27" s="25" t="s">
        <v>44</v>
      </c>
      <c r="E27" s="25" t="s">
        <v>51</v>
      </c>
      <c r="F27" s="26">
        <v>20</v>
      </c>
      <c r="G27" s="26">
        <v>20</v>
      </c>
      <c r="H27" s="26">
        <v>1</v>
      </c>
      <c r="I27" s="27">
        <v>95</v>
      </c>
      <c r="J27" s="27">
        <v>95</v>
      </c>
      <c r="K27" s="28">
        <v>4.8</v>
      </c>
      <c r="L27" s="15"/>
    </row>
    <row r="28" spans="1:12" ht="27" customHeight="1">
      <c r="A28" s="23" t="s">
        <v>85</v>
      </c>
      <c r="B28" s="24">
        <v>46191.5</v>
      </c>
      <c r="C28" s="25" t="s">
        <v>43</v>
      </c>
      <c r="D28" s="25" t="s">
        <v>39</v>
      </c>
      <c r="E28" s="25" t="s">
        <v>40</v>
      </c>
      <c r="F28" s="26">
        <v>30</v>
      </c>
      <c r="G28" s="26">
        <v>26</v>
      </c>
      <c r="H28" s="26">
        <v>3</v>
      </c>
      <c r="I28" s="27">
        <v>65</v>
      </c>
      <c r="J28" s="27">
        <v>0</v>
      </c>
      <c r="K28" s="28">
        <v>4.2</v>
      </c>
      <c r="L28" s="15"/>
    </row>
    <row r="29" spans="1:12" ht="27" customHeight="1">
      <c r="A29" s="23" t="s">
        <v>86</v>
      </c>
      <c r="B29" s="24">
        <v>46193.5</v>
      </c>
      <c r="C29" s="25" t="s">
        <v>47</v>
      </c>
      <c r="D29" s="25" t="s">
        <v>39</v>
      </c>
      <c r="E29" s="25" t="s">
        <v>40</v>
      </c>
      <c r="F29" s="26">
        <v>24</v>
      </c>
      <c r="G29" s="26">
        <v>19</v>
      </c>
      <c r="H29" s="26">
        <v>2</v>
      </c>
      <c r="I29" s="27">
        <v>95</v>
      </c>
      <c r="J29" s="27">
        <v>95</v>
      </c>
      <c r="K29" s="28">
        <v>4.3</v>
      </c>
      <c r="L29" s="15"/>
    </row>
    <row r="30" spans="1:12" ht="27" customHeight="1">
      <c r="A30" s="23" t="s">
        <v>87</v>
      </c>
      <c r="B30" s="24">
        <v>46196.5</v>
      </c>
      <c r="C30" s="25" t="s">
        <v>50</v>
      </c>
      <c r="D30" s="25" t="s">
        <v>44</v>
      </c>
      <c r="E30" s="25" t="s">
        <v>45</v>
      </c>
      <c r="F30" s="26">
        <v>16</v>
      </c>
      <c r="G30" s="26">
        <v>14</v>
      </c>
      <c r="H30" s="26">
        <v>1</v>
      </c>
      <c r="I30" s="27">
        <v>110</v>
      </c>
      <c r="J30" s="27">
        <v>0</v>
      </c>
      <c r="K30" s="28">
        <v>4.7</v>
      </c>
      <c r="L30" s="15"/>
    </row>
    <row r="31" spans="1:12" ht="27" customHeight="1">
      <c r="A31" s="23" t="s">
        <v>88</v>
      </c>
      <c r="B31" s="24">
        <v>46198.5</v>
      </c>
      <c r="C31" s="25" t="s">
        <v>38</v>
      </c>
      <c r="D31" s="25" t="s">
        <v>39</v>
      </c>
      <c r="E31" s="25" t="s">
        <v>40</v>
      </c>
      <c r="F31" s="26">
        <v>24</v>
      </c>
      <c r="G31" s="26">
        <v>21</v>
      </c>
      <c r="H31" s="26">
        <v>1</v>
      </c>
      <c r="I31" s="27">
        <v>85</v>
      </c>
      <c r="J31" s="27">
        <v>0</v>
      </c>
      <c r="K31" s="28">
        <v>4.5999999999999996</v>
      </c>
      <c r="L31" s="15"/>
    </row>
    <row r="32" spans="1:12" ht="27" customHeight="1">
      <c r="A32" s="23" t="s">
        <v>89</v>
      </c>
      <c r="B32" s="24">
        <v>46199.5</v>
      </c>
      <c r="C32" s="25" t="s">
        <v>43</v>
      </c>
      <c r="D32" s="25" t="s">
        <v>44</v>
      </c>
      <c r="E32" s="25" t="s">
        <v>56</v>
      </c>
      <c r="F32" s="26">
        <v>18</v>
      </c>
      <c r="G32" s="26">
        <v>14</v>
      </c>
      <c r="H32" s="26">
        <v>2</v>
      </c>
      <c r="I32" s="27">
        <v>80</v>
      </c>
      <c r="J32" s="27">
        <v>0</v>
      </c>
      <c r="K32" s="28">
        <v>4.0999999999999996</v>
      </c>
      <c r="L32" s="15"/>
    </row>
    <row r="33" spans="1:12" ht="27" customHeight="1">
      <c r="A33" s="23" t="s">
        <v>90</v>
      </c>
      <c r="B33" s="24">
        <v>46200.5</v>
      </c>
      <c r="C33" s="25" t="s">
        <v>47</v>
      </c>
      <c r="D33" s="25" t="s">
        <v>39</v>
      </c>
      <c r="E33" s="25" t="s">
        <v>40</v>
      </c>
      <c r="F33" s="26">
        <v>24</v>
      </c>
      <c r="G33" s="26">
        <v>21</v>
      </c>
      <c r="H33" s="26">
        <v>3</v>
      </c>
      <c r="I33" s="27">
        <v>95</v>
      </c>
      <c r="J33" s="27">
        <v>0</v>
      </c>
      <c r="K33" s="28">
        <v>4.5</v>
      </c>
      <c r="L33" s="15"/>
    </row>
    <row r="34" spans="1:12" ht="27" customHeight="1">
      <c r="A34" s="29" t="s">
        <v>91</v>
      </c>
      <c r="B34" s="30">
        <v>46203.5</v>
      </c>
      <c r="C34" s="31" t="s">
        <v>50</v>
      </c>
      <c r="D34" s="31" t="s">
        <v>44</v>
      </c>
      <c r="E34" s="31" t="s">
        <v>51</v>
      </c>
      <c r="F34" s="32">
        <v>16</v>
      </c>
      <c r="G34" s="32">
        <v>16</v>
      </c>
      <c r="H34" s="32">
        <v>1</v>
      </c>
      <c r="I34" s="33">
        <v>110</v>
      </c>
      <c r="J34" s="33">
        <v>110</v>
      </c>
      <c r="K34" s="34">
        <v>4.8</v>
      </c>
      <c r="L34" s="16" t="s">
        <v>92</v>
      </c>
    </row>
  </sheetData>
  <mergeCells count="2">
    <mergeCell ref="A1:L2"/>
    <mergeCell ref="A3:L3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3"/>
  <sheetViews>
    <sheetView workbookViewId="0"/>
  </sheetViews>
  <sheetFormatPr defaultRowHeight="14"/>
  <cols>
    <col min="1" max="1" width="12" customWidth="1"/>
    <col min="2" max="2" width="16" customWidth="1"/>
    <col min="3" max="3" width="25" customWidth="1"/>
    <col min="4" max="4" width="18" customWidth="1"/>
    <col min="5" max="5" width="14" customWidth="1"/>
    <col min="6" max="8" width="11" customWidth="1"/>
    <col min="9" max="9" width="18" customWidth="1"/>
    <col min="10" max="10" width="13" customWidth="1"/>
    <col min="11" max="11" width="19" customWidth="1"/>
    <col min="12" max="12" width="42" customWidth="1"/>
    <col min="13" max="13" width="12" customWidth="1"/>
    <col min="14" max="14" width="17" customWidth="1"/>
    <col min="15" max="15" width="15" customWidth="1"/>
    <col min="16" max="16" width="17" customWidth="1"/>
    <col min="17" max="17" width="24" customWidth="1"/>
  </cols>
  <sheetData>
    <row r="1" spans="1:17" ht="28" customHeight="1">
      <c r="A1" s="129" t="s">
        <v>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</row>
    <row r="2" spans="1:17" ht="28" customHeight="1">
      <c r="A2" s="129"/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</row>
    <row r="3" spans="1:17" ht="30" customHeight="1">
      <c r="A3" s="130" t="s">
        <v>94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</row>
    <row r="5" spans="1:17" ht="30" customHeight="1">
      <c r="A5" s="36" t="s">
        <v>25</v>
      </c>
      <c r="B5" s="36" t="s">
        <v>26</v>
      </c>
      <c r="C5" s="36" t="s">
        <v>27</v>
      </c>
      <c r="D5" s="36" t="s">
        <v>28</v>
      </c>
      <c r="E5" s="36" t="s">
        <v>29</v>
      </c>
      <c r="F5" s="36" t="s">
        <v>30</v>
      </c>
      <c r="G5" s="36" t="s">
        <v>31</v>
      </c>
      <c r="H5" s="36" t="s">
        <v>32</v>
      </c>
      <c r="I5" s="36" t="s">
        <v>33</v>
      </c>
      <c r="J5" s="36" t="s">
        <v>34</v>
      </c>
      <c r="K5" s="36" t="s">
        <v>35</v>
      </c>
      <c r="L5" s="36" t="s">
        <v>36</v>
      </c>
      <c r="M5" s="68" t="s">
        <v>95</v>
      </c>
      <c r="N5" s="68" t="s">
        <v>9</v>
      </c>
      <c r="O5" s="68" t="s">
        <v>13</v>
      </c>
      <c r="P5" s="68" t="s">
        <v>16</v>
      </c>
      <c r="Q5" s="68" t="s">
        <v>96</v>
      </c>
    </row>
    <row r="6" spans="1:17" ht="24" customHeight="1">
      <c r="A6" s="37" t="s">
        <v>37</v>
      </c>
      <c r="B6" s="43">
        <v>46115</v>
      </c>
      <c r="C6" s="38" t="s">
        <v>38</v>
      </c>
      <c r="D6" s="38" t="s">
        <v>39</v>
      </c>
      <c r="E6" s="38" t="s">
        <v>40</v>
      </c>
      <c r="F6" s="46">
        <v>24</v>
      </c>
      <c r="G6" s="46">
        <v>22</v>
      </c>
      <c r="H6" s="46">
        <v>2</v>
      </c>
      <c r="I6" s="47">
        <v>85</v>
      </c>
      <c r="J6" s="47">
        <v>85</v>
      </c>
      <c r="K6" s="48">
        <v>4.5999999999999996</v>
      </c>
      <c r="L6" s="55" t="s">
        <v>41</v>
      </c>
      <c r="M6" s="75">
        <f t="shared" ref="M6:M33" si="0">G6-H6</f>
        <v>20</v>
      </c>
      <c r="N6" s="76">
        <f t="shared" ref="N6:N33" si="1">G6*I6</f>
        <v>1870</v>
      </c>
      <c r="O6" s="76">
        <f t="shared" ref="O6:O33" si="2">IF(ISBLANK(J6),"",N6-J6)</f>
        <v>1785</v>
      </c>
      <c r="P6" s="77">
        <f t="shared" ref="P6:P33" si="3">IF(G6=0,"",M6/G6)</f>
        <v>0.90909090909090906</v>
      </c>
      <c r="Q6" s="84" t="str">
        <f t="shared" ref="Q6:Q33" si="4">IF(ISBLANK(J6),"Review missing refund","")</f>
        <v/>
      </c>
    </row>
    <row r="7" spans="1:17" ht="24" customHeight="1">
      <c r="A7" s="39" t="s">
        <v>42</v>
      </c>
      <c r="B7" s="44">
        <v>46119</v>
      </c>
      <c r="C7" s="40" t="s">
        <v>43</v>
      </c>
      <c r="D7" s="40" t="s">
        <v>44</v>
      </c>
      <c r="E7" s="40" t="s">
        <v>45</v>
      </c>
      <c r="F7" s="49">
        <v>18</v>
      </c>
      <c r="G7" s="49">
        <v>16</v>
      </c>
      <c r="H7" s="49">
        <v>1</v>
      </c>
      <c r="I7" s="50">
        <v>75</v>
      </c>
      <c r="J7" s="50">
        <v>0</v>
      </c>
      <c r="K7" s="51">
        <v>4.4000000000000004</v>
      </c>
      <c r="L7" s="56"/>
      <c r="M7" s="78">
        <f t="shared" si="0"/>
        <v>15</v>
      </c>
      <c r="N7" s="79">
        <f t="shared" si="1"/>
        <v>1200</v>
      </c>
      <c r="O7" s="79">
        <f t="shared" si="2"/>
        <v>1200</v>
      </c>
      <c r="P7" s="80">
        <f t="shared" si="3"/>
        <v>0.9375</v>
      </c>
      <c r="Q7" s="85" t="str">
        <f t="shared" si="4"/>
        <v/>
      </c>
    </row>
    <row r="8" spans="1:17" ht="24" customHeight="1">
      <c r="A8" s="39" t="s">
        <v>46</v>
      </c>
      <c r="B8" s="44">
        <v>46122</v>
      </c>
      <c r="C8" s="40" t="s">
        <v>47</v>
      </c>
      <c r="D8" s="40" t="s">
        <v>39</v>
      </c>
      <c r="E8" s="40" t="s">
        <v>40</v>
      </c>
      <c r="F8" s="49">
        <v>24</v>
      </c>
      <c r="G8" s="49">
        <v>18</v>
      </c>
      <c r="H8" s="49">
        <v>4</v>
      </c>
      <c r="I8" s="50">
        <v>95</v>
      </c>
      <c r="J8" s="50">
        <v>190</v>
      </c>
      <c r="K8" s="51">
        <v>4.0999999999999996</v>
      </c>
      <c r="L8" s="56" t="s">
        <v>48</v>
      </c>
      <c r="M8" s="78">
        <f t="shared" si="0"/>
        <v>14</v>
      </c>
      <c r="N8" s="79">
        <f t="shared" si="1"/>
        <v>1710</v>
      </c>
      <c r="O8" s="79">
        <f t="shared" si="2"/>
        <v>1520</v>
      </c>
      <c r="P8" s="80">
        <f t="shared" si="3"/>
        <v>0.77777777777777779</v>
      </c>
      <c r="Q8" s="85" t="str">
        <f t="shared" si="4"/>
        <v/>
      </c>
    </row>
    <row r="9" spans="1:17" ht="24" customHeight="1">
      <c r="A9" s="39" t="s">
        <v>49</v>
      </c>
      <c r="B9" s="44">
        <v>46126</v>
      </c>
      <c r="C9" s="40" t="s">
        <v>50</v>
      </c>
      <c r="D9" s="40" t="s">
        <v>44</v>
      </c>
      <c r="E9" s="40" t="s">
        <v>51</v>
      </c>
      <c r="F9" s="49">
        <v>16</v>
      </c>
      <c r="G9" s="49">
        <v>13</v>
      </c>
      <c r="H9" s="49">
        <v>1</v>
      </c>
      <c r="I9" s="50">
        <v>110</v>
      </c>
      <c r="J9" s="50">
        <v>0</v>
      </c>
      <c r="K9" s="51">
        <v>4.8</v>
      </c>
      <c r="L9" s="56" t="s">
        <v>52</v>
      </c>
      <c r="M9" s="78">
        <f t="shared" si="0"/>
        <v>12</v>
      </c>
      <c r="N9" s="79">
        <f t="shared" si="1"/>
        <v>1430</v>
      </c>
      <c r="O9" s="79">
        <f t="shared" si="2"/>
        <v>1430</v>
      </c>
      <c r="P9" s="80">
        <f t="shared" si="3"/>
        <v>0.92307692307692313</v>
      </c>
      <c r="Q9" s="85" t="str">
        <f t="shared" si="4"/>
        <v/>
      </c>
    </row>
    <row r="10" spans="1:17" ht="24" customHeight="1">
      <c r="A10" s="39" t="s">
        <v>53</v>
      </c>
      <c r="B10" s="44">
        <v>46130</v>
      </c>
      <c r="C10" s="40" t="s">
        <v>38</v>
      </c>
      <c r="D10" s="40" t="s">
        <v>44</v>
      </c>
      <c r="E10" s="40" t="s">
        <v>56</v>
      </c>
      <c r="F10" s="49">
        <v>20</v>
      </c>
      <c r="G10" s="49">
        <v>19</v>
      </c>
      <c r="H10" s="49">
        <v>2</v>
      </c>
      <c r="I10" s="50">
        <v>95</v>
      </c>
      <c r="J10" s="50">
        <v>95</v>
      </c>
      <c r="K10" s="51">
        <v>4.7</v>
      </c>
      <c r="L10" s="56"/>
      <c r="M10" s="78">
        <f t="shared" si="0"/>
        <v>17</v>
      </c>
      <c r="N10" s="79">
        <f t="shared" si="1"/>
        <v>1805</v>
      </c>
      <c r="O10" s="79">
        <f t="shared" si="2"/>
        <v>1710</v>
      </c>
      <c r="P10" s="80">
        <f t="shared" si="3"/>
        <v>0.89473684210526316</v>
      </c>
      <c r="Q10" s="85" t="str">
        <f t="shared" si="4"/>
        <v/>
      </c>
    </row>
    <row r="11" spans="1:17" ht="24" customHeight="1">
      <c r="A11" s="39" t="s">
        <v>57</v>
      </c>
      <c r="B11" s="44">
        <v>46134</v>
      </c>
      <c r="C11" s="40" t="s">
        <v>43</v>
      </c>
      <c r="D11" s="40" t="s">
        <v>39</v>
      </c>
      <c r="E11" s="40" t="s">
        <v>40</v>
      </c>
      <c r="F11" s="49">
        <v>30</v>
      </c>
      <c r="G11" s="49">
        <v>25</v>
      </c>
      <c r="H11" s="49">
        <v>5</v>
      </c>
      <c r="I11" s="50">
        <v>65</v>
      </c>
      <c r="J11" s="50">
        <v>65</v>
      </c>
      <c r="K11" s="51">
        <v>4</v>
      </c>
      <c r="L11" s="56" t="s">
        <v>59</v>
      </c>
      <c r="M11" s="78">
        <f t="shared" si="0"/>
        <v>20</v>
      </c>
      <c r="N11" s="79">
        <f t="shared" si="1"/>
        <v>1625</v>
      </c>
      <c r="O11" s="79">
        <f t="shared" si="2"/>
        <v>1560</v>
      </c>
      <c r="P11" s="80">
        <f t="shared" si="3"/>
        <v>0.8</v>
      </c>
      <c r="Q11" s="85" t="str">
        <f t="shared" si="4"/>
        <v/>
      </c>
    </row>
    <row r="12" spans="1:17" ht="24" customHeight="1">
      <c r="A12" s="39" t="s">
        <v>60</v>
      </c>
      <c r="B12" s="44">
        <v>46137</v>
      </c>
      <c r="C12" s="40" t="s">
        <v>47</v>
      </c>
      <c r="D12" s="40" t="s">
        <v>44</v>
      </c>
      <c r="E12" s="40" t="s">
        <v>45</v>
      </c>
      <c r="F12" s="49">
        <v>18</v>
      </c>
      <c r="G12" s="49">
        <v>17</v>
      </c>
      <c r="H12" s="49">
        <v>1</v>
      </c>
      <c r="I12" s="50">
        <v>120</v>
      </c>
      <c r="J12" s="50"/>
      <c r="K12" s="51">
        <v>4.5</v>
      </c>
      <c r="L12" s="56" t="s">
        <v>61</v>
      </c>
      <c r="M12" s="78">
        <f t="shared" si="0"/>
        <v>16</v>
      </c>
      <c r="N12" s="79">
        <f t="shared" si="1"/>
        <v>2040</v>
      </c>
      <c r="O12" s="79" t="str">
        <f t="shared" si="2"/>
        <v/>
      </c>
      <c r="P12" s="80">
        <f t="shared" si="3"/>
        <v>0.94117647058823528</v>
      </c>
      <c r="Q12" s="85" t="str">
        <f t="shared" si="4"/>
        <v>Review missing refund</v>
      </c>
    </row>
    <row r="13" spans="1:17" ht="24" customHeight="1">
      <c r="A13" s="39" t="s">
        <v>62</v>
      </c>
      <c r="B13" s="44">
        <v>46141</v>
      </c>
      <c r="C13" s="40" t="s">
        <v>50</v>
      </c>
      <c r="D13" s="40" t="s">
        <v>39</v>
      </c>
      <c r="E13" s="40" t="s">
        <v>40</v>
      </c>
      <c r="F13" s="49">
        <v>24</v>
      </c>
      <c r="G13" s="49">
        <v>15</v>
      </c>
      <c r="H13" s="49">
        <v>3</v>
      </c>
      <c r="I13" s="50">
        <v>90</v>
      </c>
      <c r="J13" s="50">
        <v>0</v>
      </c>
      <c r="K13" s="51">
        <v>4.2</v>
      </c>
      <c r="L13" s="56"/>
      <c r="M13" s="78">
        <f t="shared" si="0"/>
        <v>12</v>
      </c>
      <c r="N13" s="79">
        <f t="shared" si="1"/>
        <v>1350</v>
      </c>
      <c r="O13" s="79">
        <f t="shared" si="2"/>
        <v>1350</v>
      </c>
      <c r="P13" s="80">
        <f t="shared" si="3"/>
        <v>0.8</v>
      </c>
      <c r="Q13" s="85" t="str">
        <f t="shared" si="4"/>
        <v/>
      </c>
    </row>
    <row r="14" spans="1:17" ht="24" customHeight="1">
      <c r="A14" s="39" t="s">
        <v>63</v>
      </c>
      <c r="B14" s="44">
        <v>46144</v>
      </c>
      <c r="C14" s="40" t="s">
        <v>38</v>
      </c>
      <c r="D14" s="40" t="s">
        <v>39</v>
      </c>
      <c r="E14" s="40" t="s">
        <v>40</v>
      </c>
      <c r="F14" s="49">
        <v>24</v>
      </c>
      <c r="G14" s="49">
        <v>24</v>
      </c>
      <c r="H14" s="49">
        <v>1</v>
      </c>
      <c r="I14" s="50">
        <v>85</v>
      </c>
      <c r="J14" s="50">
        <v>0</v>
      </c>
      <c r="K14" s="51">
        <v>4.8</v>
      </c>
      <c r="L14" s="56" t="s">
        <v>64</v>
      </c>
      <c r="M14" s="78">
        <f t="shared" si="0"/>
        <v>23</v>
      </c>
      <c r="N14" s="79">
        <f t="shared" si="1"/>
        <v>2040</v>
      </c>
      <c r="O14" s="79">
        <f t="shared" si="2"/>
        <v>2040</v>
      </c>
      <c r="P14" s="80">
        <f t="shared" si="3"/>
        <v>0.95833333333333337</v>
      </c>
      <c r="Q14" s="85" t="str">
        <f t="shared" si="4"/>
        <v/>
      </c>
    </row>
    <row r="15" spans="1:17" ht="24" customHeight="1">
      <c r="A15" s="39" t="s">
        <v>65</v>
      </c>
      <c r="B15" s="44">
        <v>46148</v>
      </c>
      <c r="C15" s="40" t="s">
        <v>43</v>
      </c>
      <c r="D15" s="40" t="s">
        <v>44</v>
      </c>
      <c r="E15" s="40" t="s">
        <v>51</v>
      </c>
      <c r="F15" s="49">
        <v>18</v>
      </c>
      <c r="G15" s="49">
        <v>15</v>
      </c>
      <c r="H15" s="49">
        <v>2</v>
      </c>
      <c r="I15" s="50">
        <v>80</v>
      </c>
      <c r="J15" s="50">
        <v>80</v>
      </c>
      <c r="K15" s="51">
        <v>4.3</v>
      </c>
      <c r="L15" s="56"/>
      <c r="M15" s="78">
        <f t="shared" si="0"/>
        <v>13</v>
      </c>
      <c r="N15" s="79">
        <f t="shared" si="1"/>
        <v>1200</v>
      </c>
      <c r="O15" s="79">
        <f t="shared" si="2"/>
        <v>1120</v>
      </c>
      <c r="P15" s="80">
        <f t="shared" si="3"/>
        <v>0.8666666666666667</v>
      </c>
      <c r="Q15" s="85" t="str">
        <f t="shared" si="4"/>
        <v/>
      </c>
    </row>
    <row r="16" spans="1:17" ht="24" customHeight="1">
      <c r="A16" s="39" t="s">
        <v>67</v>
      </c>
      <c r="B16" s="44">
        <v>46151</v>
      </c>
      <c r="C16" s="40" t="s">
        <v>47</v>
      </c>
      <c r="D16" s="40" t="s">
        <v>39</v>
      </c>
      <c r="E16" s="40" t="s">
        <v>40</v>
      </c>
      <c r="F16" s="49">
        <v>24</v>
      </c>
      <c r="G16" s="49">
        <v>20</v>
      </c>
      <c r="H16" s="49">
        <v>2</v>
      </c>
      <c r="I16" s="50">
        <v>95</v>
      </c>
      <c r="J16" s="50">
        <v>0</v>
      </c>
      <c r="K16" s="51"/>
      <c r="L16" s="56" t="s">
        <v>68</v>
      </c>
      <c r="M16" s="78">
        <f t="shared" si="0"/>
        <v>18</v>
      </c>
      <c r="N16" s="79">
        <f t="shared" si="1"/>
        <v>1900</v>
      </c>
      <c r="O16" s="79">
        <f t="shared" si="2"/>
        <v>1900</v>
      </c>
      <c r="P16" s="80">
        <f t="shared" si="3"/>
        <v>0.9</v>
      </c>
      <c r="Q16" s="85" t="str">
        <f t="shared" si="4"/>
        <v/>
      </c>
    </row>
    <row r="17" spans="1:17" ht="24" customHeight="1">
      <c r="A17" s="39" t="s">
        <v>69</v>
      </c>
      <c r="B17" s="44">
        <v>46155</v>
      </c>
      <c r="C17" s="40" t="s">
        <v>50</v>
      </c>
      <c r="D17" s="40" t="s">
        <v>44</v>
      </c>
      <c r="E17" s="40" t="s">
        <v>45</v>
      </c>
      <c r="F17" s="49">
        <v>16</v>
      </c>
      <c r="G17" s="49">
        <v>15</v>
      </c>
      <c r="H17" s="49">
        <v>0</v>
      </c>
      <c r="I17" s="50">
        <v>110</v>
      </c>
      <c r="J17" s="50">
        <v>0</v>
      </c>
      <c r="K17" s="51">
        <v>4.9000000000000004</v>
      </c>
      <c r="L17" s="56" t="s">
        <v>70</v>
      </c>
      <c r="M17" s="78">
        <f t="shared" si="0"/>
        <v>15</v>
      </c>
      <c r="N17" s="79">
        <f t="shared" si="1"/>
        <v>1650</v>
      </c>
      <c r="O17" s="79">
        <f t="shared" si="2"/>
        <v>1650</v>
      </c>
      <c r="P17" s="80">
        <f t="shared" si="3"/>
        <v>1</v>
      </c>
      <c r="Q17" s="85" t="str">
        <f t="shared" si="4"/>
        <v/>
      </c>
    </row>
    <row r="18" spans="1:17" ht="24" customHeight="1">
      <c r="A18" s="39" t="s">
        <v>71</v>
      </c>
      <c r="B18" s="44">
        <v>46158</v>
      </c>
      <c r="C18" s="40" t="s">
        <v>38</v>
      </c>
      <c r="D18" s="40" t="s">
        <v>44</v>
      </c>
      <c r="E18" s="40" t="s">
        <v>56</v>
      </c>
      <c r="F18" s="49">
        <v>20</v>
      </c>
      <c r="G18" s="49">
        <v>18</v>
      </c>
      <c r="H18" s="49">
        <v>1</v>
      </c>
      <c r="I18" s="50">
        <v>95</v>
      </c>
      <c r="J18" s="50">
        <v>0</v>
      </c>
      <c r="K18" s="51">
        <v>4.5999999999999996</v>
      </c>
      <c r="L18" s="56"/>
      <c r="M18" s="78">
        <f t="shared" si="0"/>
        <v>17</v>
      </c>
      <c r="N18" s="79">
        <f t="shared" si="1"/>
        <v>1710</v>
      </c>
      <c r="O18" s="79">
        <f t="shared" si="2"/>
        <v>1710</v>
      </c>
      <c r="P18" s="80">
        <f t="shared" si="3"/>
        <v>0.94444444444444442</v>
      </c>
      <c r="Q18" s="85" t="str">
        <f t="shared" si="4"/>
        <v/>
      </c>
    </row>
    <row r="19" spans="1:17" ht="24" customHeight="1">
      <c r="A19" s="39" t="s">
        <v>72</v>
      </c>
      <c r="B19" s="44">
        <v>46162</v>
      </c>
      <c r="C19" s="40" t="s">
        <v>43</v>
      </c>
      <c r="D19" s="40" t="s">
        <v>39</v>
      </c>
      <c r="E19" s="40" t="s">
        <v>40</v>
      </c>
      <c r="F19" s="49">
        <v>30</v>
      </c>
      <c r="G19" s="49">
        <v>27</v>
      </c>
      <c r="H19" s="49">
        <v>6</v>
      </c>
      <c r="I19" s="50">
        <v>65</v>
      </c>
      <c r="J19" s="50">
        <v>130</v>
      </c>
      <c r="K19" s="51">
        <v>3.9</v>
      </c>
      <c r="L19" s="56" t="s">
        <v>73</v>
      </c>
      <c r="M19" s="78">
        <f t="shared" si="0"/>
        <v>21</v>
      </c>
      <c r="N19" s="79">
        <f t="shared" si="1"/>
        <v>1755</v>
      </c>
      <c r="O19" s="79">
        <f t="shared" si="2"/>
        <v>1625</v>
      </c>
      <c r="P19" s="80">
        <f t="shared" si="3"/>
        <v>0.77777777777777779</v>
      </c>
      <c r="Q19" s="85" t="str">
        <f t="shared" si="4"/>
        <v/>
      </c>
    </row>
    <row r="20" spans="1:17" ht="24" customHeight="1">
      <c r="A20" s="39" t="s">
        <v>74</v>
      </c>
      <c r="B20" s="44">
        <v>46165</v>
      </c>
      <c r="C20" s="40" t="s">
        <v>47</v>
      </c>
      <c r="D20" s="40" t="s">
        <v>44</v>
      </c>
      <c r="E20" s="40" t="s">
        <v>51</v>
      </c>
      <c r="F20" s="49">
        <v>18</v>
      </c>
      <c r="G20" s="49">
        <v>16</v>
      </c>
      <c r="H20" s="49">
        <v>1</v>
      </c>
      <c r="I20" s="50">
        <v>120</v>
      </c>
      <c r="J20" s="50">
        <v>0</v>
      </c>
      <c r="K20" s="51">
        <v>4.5999999999999996</v>
      </c>
      <c r="L20" s="56"/>
      <c r="M20" s="78">
        <f t="shared" si="0"/>
        <v>15</v>
      </c>
      <c r="N20" s="79">
        <f t="shared" si="1"/>
        <v>1920</v>
      </c>
      <c r="O20" s="79">
        <f t="shared" si="2"/>
        <v>1920</v>
      </c>
      <c r="P20" s="80">
        <f t="shared" si="3"/>
        <v>0.9375</v>
      </c>
      <c r="Q20" s="85" t="str">
        <f t="shared" si="4"/>
        <v/>
      </c>
    </row>
    <row r="21" spans="1:17" ht="24" customHeight="1">
      <c r="A21" s="39" t="s">
        <v>75</v>
      </c>
      <c r="B21" s="44">
        <v>46170</v>
      </c>
      <c r="C21" s="40" t="s">
        <v>50</v>
      </c>
      <c r="D21" s="40" t="s">
        <v>39</v>
      </c>
      <c r="E21" s="40" t="s">
        <v>40</v>
      </c>
      <c r="F21" s="49">
        <v>24</v>
      </c>
      <c r="G21" s="49">
        <v>17</v>
      </c>
      <c r="H21" s="49">
        <v>2</v>
      </c>
      <c r="I21" s="50">
        <v>90</v>
      </c>
      <c r="J21" s="50">
        <v>90</v>
      </c>
      <c r="K21" s="51">
        <v>4.3</v>
      </c>
      <c r="L21" s="56"/>
      <c r="M21" s="78">
        <f t="shared" si="0"/>
        <v>15</v>
      </c>
      <c r="N21" s="79">
        <f t="shared" si="1"/>
        <v>1530</v>
      </c>
      <c r="O21" s="79">
        <f t="shared" si="2"/>
        <v>1440</v>
      </c>
      <c r="P21" s="80">
        <f t="shared" si="3"/>
        <v>0.88235294117647056</v>
      </c>
      <c r="Q21" s="85" t="str">
        <f t="shared" si="4"/>
        <v/>
      </c>
    </row>
    <row r="22" spans="1:17" ht="24" customHeight="1">
      <c r="A22" s="39" t="s">
        <v>76</v>
      </c>
      <c r="B22" s="44">
        <v>46175</v>
      </c>
      <c r="C22" s="40" t="s">
        <v>38</v>
      </c>
      <c r="D22" s="40" t="s">
        <v>39</v>
      </c>
      <c r="E22" s="40" t="s">
        <v>40</v>
      </c>
      <c r="F22" s="49">
        <v>24</v>
      </c>
      <c r="G22" s="49">
        <v>23</v>
      </c>
      <c r="H22" s="49">
        <v>1</v>
      </c>
      <c r="I22" s="50">
        <v>85</v>
      </c>
      <c r="J22" s="50">
        <v>0</v>
      </c>
      <c r="K22" s="51">
        <v>4.7</v>
      </c>
      <c r="L22" s="56"/>
      <c r="M22" s="78">
        <f t="shared" si="0"/>
        <v>22</v>
      </c>
      <c r="N22" s="79">
        <f t="shared" si="1"/>
        <v>1955</v>
      </c>
      <c r="O22" s="79">
        <f t="shared" si="2"/>
        <v>1955</v>
      </c>
      <c r="P22" s="80">
        <f t="shared" si="3"/>
        <v>0.95652173913043481</v>
      </c>
      <c r="Q22" s="85" t="str">
        <f t="shared" si="4"/>
        <v/>
      </c>
    </row>
    <row r="23" spans="1:17" ht="24" customHeight="1">
      <c r="A23" s="39" t="s">
        <v>77</v>
      </c>
      <c r="B23" s="44">
        <v>46178</v>
      </c>
      <c r="C23" s="40" t="s">
        <v>43</v>
      </c>
      <c r="D23" s="40" t="s">
        <v>44</v>
      </c>
      <c r="E23" s="40" t="s">
        <v>45</v>
      </c>
      <c r="F23" s="49">
        <v>18</v>
      </c>
      <c r="G23" s="49">
        <v>17</v>
      </c>
      <c r="H23" s="49">
        <v>0</v>
      </c>
      <c r="I23" s="50">
        <v>80</v>
      </c>
      <c r="J23" s="50">
        <v>0</v>
      </c>
      <c r="K23" s="51">
        <v>4.5</v>
      </c>
      <c r="L23" s="56"/>
      <c r="M23" s="78">
        <f t="shared" si="0"/>
        <v>17</v>
      </c>
      <c r="N23" s="79">
        <f t="shared" si="1"/>
        <v>1360</v>
      </c>
      <c r="O23" s="79">
        <f t="shared" si="2"/>
        <v>1360</v>
      </c>
      <c r="P23" s="80">
        <f t="shared" si="3"/>
        <v>1</v>
      </c>
      <c r="Q23" s="85" t="str">
        <f t="shared" si="4"/>
        <v/>
      </c>
    </row>
    <row r="24" spans="1:17" ht="24" customHeight="1">
      <c r="A24" s="39" t="s">
        <v>78</v>
      </c>
      <c r="B24" s="44">
        <v>46182</v>
      </c>
      <c r="C24" s="40" t="s">
        <v>47</v>
      </c>
      <c r="D24" s="40" t="s">
        <v>44</v>
      </c>
      <c r="E24" s="40" t="s">
        <v>56</v>
      </c>
      <c r="F24" s="49">
        <v>20</v>
      </c>
      <c r="G24" s="49">
        <v>23</v>
      </c>
      <c r="H24" s="49">
        <v>2</v>
      </c>
      <c r="I24" s="50">
        <v>120</v>
      </c>
      <c r="J24" s="50">
        <v>0</v>
      </c>
      <c r="K24" s="51">
        <v>4.4000000000000004</v>
      </c>
      <c r="L24" s="56" t="s">
        <v>79</v>
      </c>
      <c r="M24" s="78">
        <f t="shared" si="0"/>
        <v>21</v>
      </c>
      <c r="N24" s="79">
        <f t="shared" si="1"/>
        <v>2760</v>
      </c>
      <c r="O24" s="79">
        <f t="shared" si="2"/>
        <v>2760</v>
      </c>
      <c r="P24" s="80">
        <f t="shared" si="3"/>
        <v>0.91304347826086951</v>
      </c>
      <c r="Q24" s="85" t="str">
        <f t="shared" si="4"/>
        <v/>
      </c>
    </row>
    <row r="25" spans="1:17" ht="24" customHeight="1">
      <c r="A25" s="39" t="s">
        <v>80</v>
      </c>
      <c r="B25" s="44">
        <v>46185</v>
      </c>
      <c r="C25" s="40" t="s">
        <v>50</v>
      </c>
      <c r="D25" s="40" t="s">
        <v>39</v>
      </c>
      <c r="E25" s="40" t="s">
        <v>40</v>
      </c>
      <c r="F25" s="49">
        <v>24</v>
      </c>
      <c r="G25" s="49">
        <v>19</v>
      </c>
      <c r="H25" s="49">
        <v>3</v>
      </c>
      <c r="I25" s="50">
        <v>90</v>
      </c>
      <c r="J25" s="50">
        <v>0</v>
      </c>
      <c r="K25" s="51">
        <v>4.4000000000000004</v>
      </c>
      <c r="L25" s="56" t="s">
        <v>83</v>
      </c>
      <c r="M25" s="78">
        <f t="shared" si="0"/>
        <v>16</v>
      </c>
      <c r="N25" s="79">
        <f t="shared" si="1"/>
        <v>1710</v>
      </c>
      <c r="O25" s="79">
        <f t="shared" si="2"/>
        <v>1710</v>
      </c>
      <c r="P25" s="80">
        <f t="shared" si="3"/>
        <v>0.84210526315789469</v>
      </c>
      <c r="Q25" s="85" t="str">
        <f t="shared" si="4"/>
        <v/>
      </c>
    </row>
    <row r="26" spans="1:17" ht="24" customHeight="1">
      <c r="A26" s="39" t="s">
        <v>84</v>
      </c>
      <c r="B26" s="44">
        <v>46189</v>
      </c>
      <c r="C26" s="40" t="s">
        <v>38</v>
      </c>
      <c r="D26" s="40" t="s">
        <v>44</v>
      </c>
      <c r="E26" s="40" t="s">
        <v>51</v>
      </c>
      <c r="F26" s="49">
        <v>20</v>
      </c>
      <c r="G26" s="49">
        <v>20</v>
      </c>
      <c r="H26" s="49">
        <v>1</v>
      </c>
      <c r="I26" s="50">
        <v>95</v>
      </c>
      <c r="J26" s="50">
        <v>95</v>
      </c>
      <c r="K26" s="51">
        <v>4.8</v>
      </c>
      <c r="L26" s="56"/>
      <c r="M26" s="78">
        <f t="shared" si="0"/>
        <v>19</v>
      </c>
      <c r="N26" s="79">
        <f t="shared" si="1"/>
        <v>1900</v>
      </c>
      <c r="O26" s="79">
        <f t="shared" si="2"/>
        <v>1805</v>
      </c>
      <c r="P26" s="80">
        <f t="shared" si="3"/>
        <v>0.95</v>
      </c>
      <c r="Q26" s="85" t="str">
        <f t="shared" si="4"/>
        <v/>
      </c>
    </row>
    <row r="27" spans="1:17" ht="24" customHeight="1">
      <c r="A27" s="39" t="s">
        <v>85</v>
      </c>
      <c r="B27" s="44">
        <v>46191</v>
      </c>
      <c r="C27" s="40" t="s">
        <v>43</v>
      </c>
      <c r="D27" s="40" t="s">
        <v>39</v>
      </c>
      <c r="E27" s="40" t="s">
        <v>40</v>
      </c>
      <c r="F27" s="49">
        <v>30</v>
      </c>
      <c r="G27" s="49">
        <v>26</v>
      </c>
      <c r="H27" s="49">
        <v>3</v>
      </c>
      <c r="I27" s="50">
        <v>65</v>
      </c>
      <c r="J27" s="50">
        <v>0</v>
      </c>
      <c r="K27" s="51">
        <v>4.2</v>
      </c>
      <c r="L27" s="56"/>
      <c r="M27" s="78">
        <f t="shared" si="0"/>
        <v>23</v>
      </c>
      <c r="N27" s="79">
        <f t="shared" si="1"/>
        <v>1690</v>
      </c>
      <c r="O27" s="79">
        <f t="shared" si="2"/>
        <v>1690</v>
      </c>
      <c r="P27" s="80">
        <f t="shared" si="3"/>
        <v>0.88461538461538458</v>
      </c>
      <c r="Q27" s="85" t="str">
        <f t="shared" si="4"/>
        <v/>
      </c>
    </row>
    <row r="28" spans="1:17" ht="24" customHeight="1">
      <c r="A28" s="39" t="s">
        <v>86</v>
      </c>
      <c r="B28" s="44">
        <v>46193</v>
      </c>
      <c r="C28" s="40" t="s">
        <v>47</v>
      </c>
      <c r="D28" s="40" t="s">
        <v>39</v>
      </c>
      <c r="E28" s="40" t="s">
        <v>40</v>
      </c>
      <c r="F28" s="49">
        <v>24</v>
      </c>
      <c r="G28" s="49">
        <v>19</v>
      </c>
      <c r="H28" s="49">
        <v>2</v>
      </c>
      <c r="I28" s="50">
        <v>95</v>
      </c>
      <c r="J28" s="50">
        <v>95</v>
      </c>
      <c r="K28" s="51">
        <v>4.3</v>
      </c>
      <c r="L28" s="56"/>
      <c r="M28" s="78">
        <f t="shared" si="0"/>
        <v>17</v>
      </c>
      <c r="N28" s="79">
        <f t="shared" si="1"/>
        <v>1805</v>
      </c>
      <c r="O28" s="79">
        <f t="shared" si="2"/>
        <v>1710</v>
      </c>
      <c r="P28" s="80">
        <f t="shared" si="3"/>
        <v>0.89473684210526316</v>
      </c>
      <c r="Q28" s="85" t="str">
        <f t="shared" si="4"/>
        <v/>
      </c>
    </row>
    <row r="29" spans="1:17" ht="24" customHeight="1">
      <c r="A29" s="39" t="s">
        <v>87</v>
      </c>
      <c r="B29" s="44">
        <v>46196</v>
      </c>
      <c r="C29" s="40" t="s">
        <v>50</v>
      </c>
      <c r="D29" s="40" t="s">
        <v>44</v>
      </c>
      <c r="E29" s="40" t="s">
        <v>45</v>
      </c>
      <c r="F29" s="49">
        <v>16</v>
      </c>
      <c r="G29" s="49">
        <v>14</v>
      </c>
      <c r="H29" s="49">
        <v>1</v>
      </c>
      <c r="I29" s="50">
        <v>110</v>
      </c>
      <c r="J29" s="50">
        <v>0</v>
      </c>
      <c r="K29" s="51">
        <v>4.7</v>
      </c>
      <c r="L29" s="56"/>
      <c r="M29" s="78">
        <f t="shared" si="0"/>
        <v>13</v>
      </c>
      <c r="N29" s="79">
        <f t="shared" si="1"/>
        <v>1540</v>
      </c>
      <c r="O29" s="79">
        <f t="shared" si="2"/>
        <v>1540</v>
      </c>
      <c r="P29" s="80">
        <f t="shared" si="3"/>
        <v>0.9285714285714286</v>
      </c>
      <c r="Q29" s="85" t="str">
        <f t="shared" si="4"/>
        <v/>
      </c>
    </row>
    <row r="30" spans="1:17" ht="24" customHeight="1">
      <c r="A30" s="39" t="s">
        <v>88</v>
      </c>
      <c r="B30" s="44">
        <v>46198</v>
      </c>
      <c r="C30" s="40" t="s">
        <v>38</v>
      </c>
      <c r="D30" s="40" t="s">
        <v>39</v>
      </c>
      <c r="E30" s="40" t="s">
        <v>40</v>
      </c>
      <c r="F30" s="49">
        <v>24</v>
      </c>
      <c r="G30" s="49">
        <v>21</v>
      </c>
      <c r="H30" s="49">
        <v>1</v>
      </c>
      <c r="I30" s="50">
        <v>85</v>
      </c>
      <c r="J30" s="50">
        <v>0</v>
      </c>
      <c r="K30" s="51">
        <v>4.5999999999999996</v>
      </c>
      <c r="L30" s="56"/>
      <c r="M30" s="78">
        <f t="shared" si="0"/>
        <v>20</v>
      </c>
      <c r="N30" s="79">
        <f t="shared" si="1"/>
        <v>1785</v>
      </c>
      <c r="O30" s="79">
        <f t="shared" si="2"/>
        <v>1785</v>
      </c>
      <c r="P30" s="80">
        <f t="shared" si="3"/>
        <v>0.95238095238095233</v>
      </c>
      <c r="Q30" s="85" t="str">
        <f t="shared" si="4"/>
        <v/>
      </c>
    </row>
    <row r="31" spans="1:17" ht="24" customHeight="1">
      <c r="A31" s="39" t="s">
        <v>89</v>
      </c>
      <c r="B31" s="44">
        <v>46199</v>
      </c>
      <c r="C31" s="40" t="s">
        <v>43</v>
      </c>
      <c r="D31" s="40" t="s">
        <v>44</v>
      </c>
      <c r="E31" s="40" t="s">
        <v>56</v>
      </c>
      <c r="F31" s="49">
        <v>18</v>
      </c>
      <c r="G31" s="49">
        <v>14</v>
      </c>
      <c r="H31" s="49">
        <v>2</v>
      </c>
      <c r="I31" s="50">
        <v>80</v>
      </c>
      <c r="J31" s="50">
        <v>0</v>
      </c>
      <c r="K31" s="51">
        <v>4.0999999999999996</v>
      </c>
      <c r="L31" s="56"/>
      <c r="M31" s="78">
        <f t="shared" si="0"/>
        <v>12</v>
      </c>
      <c r="N31" s="79">
        <f t="shared" si="1"/>
        <v>1120</v>
      </c>
      <c r="O31" s="79">
        <f t="shared" si="2"/>
        <v>1120</v>
      </c>
      <c r="P31" s="80">
        <f t="shared" si="3"/>
        <v>0.8571428571428571</v>
      </c>
      <c r="Q31" s="85" t="str">
        <f t="shared" si="4"/>
        <v/>
      </c>
    </row>
    <row r="32" spans="1:17" ht="24" customHeight="1">
      <c r="A32" s="39" t="s">
        <v>90</v>
      </c>
      <c r="B32" s="44">
        <v>46200</v>
      </c>
      <c r="C32" s="40" t="s">
        <v>47</v>
      </c>
      <c r="D32" s="40" t="s">
        <v>39</v>
      </c>
      <c r="E32" s="40" t="s">
        <v>40</v>
      </c>
      <c r="F32" s="49">
        <v>24</v>
      </c>
      <c r="G32" s="49">
        <v>21</v>
      </c>
      <c r="H32" s="49">
        <v>3</v>
      </c>
      <c r="I32" s="50">
        <v>95</v>
      </c>
      <c r="J32" s="50">
        <v>0</v>
      </c>
      <c r="K32" s="51">
        <v>4.5</v>
      </c>
      <c r="L32" s="56"/>
      <c r="M32" s="78">
        <f t="shared" si="0"/>
        <v>18</v>
      </c>
      <c r="N32" s="79">
        <f t="shared" si="1"/>
        <v>1995</v>
      </c>
      <c r="O32" s="79">
        <f t="shared" si="2"/>
        <v>1995</v>
      </c>
      <c r="P32" s="80">
        <f t="shared" si="3"/>
        <v>0.8571428571428571</v>
      </c>
      <c r="Q32" s="85" t="str">
        <f t="shared" si="4"/>
        <v/>
      </c>
    </row>
    <row r="33" spans="1:17" ht="24" customHeight="1">
      <c r="A33" s="41" t="s">
        <v>91</v>
      </c>
      <c r="B33" s="45">
        <v>46203</v>
      </c>
      <c r="C33" s="42" t="s">
        <v>50</v>
      </c>
      <c r="D33" s="42" t="s">
        <v>44</v>
      </c>
      <c r="E33" s="42" t="s">
        <v>51</v>
      </c>
      <c r="F33" s="52">
        <v>16</v>
      </c>
      <c r="G33" s="52">
        <v>16</v>
      </c>
      <c r="H33" s="52">
        <v>1</v>
      </c>
      <c r="I33" s="53">
        <v>110</v>
      </c>
      <c r="J33" s="53">
        <v>110</v>
      </c>
      <c r="K33" s="54">
        <v>4.8</v>
      </c>
      <c r="L33" s="57" t="s">
        <v>92</v>
      </c>
      <c r="M33" s="81">
        <f t="shared" si="0"/>
        <v>15</v>
      </c>
      <c r="N33" s="82">
        <f t="shared" si="1"/>
        <v>1760</v>
      </c>
      <c r="O33" s="82">
        <f t="shared" si="2"/>
        <v>1650</v>
      </c>
      <c r="P33" s="83">
        <f t="shared" si="3"/>
        <v>0.9375</v>
      </c>
      <c r="Q33" s="86" t="str">
        <f t="shared" si="4"/>
        <v/>
      </c>
    </row>
  </sheetData>
  <mergeCells count="2">
    <mergeCell ref="A1:Q2"/>
    <mergeCell ref="A3:Q3"/>
  </mergeCells>
  <conditionalFormatting sqref="Q6:Q33">
    <cfRule type="containsText" dxfId="1" priority="1" operator="containsText" text="Review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"/>
  <sheetViews>
    <sheetView workbookViewId="0"/>
  </sheetViews>
  <sheetFormatPr defaultRowHeight="14"/>
  <cols>
    <col min="1" max="1" width="24" customWidth="1"/>
    <col min="2" max="2" width="22" customWidth="1"/>
    <col min="3" max="3" width="24" customWidth="1"/>
    <col min="4" max="4" width="48" customWidth="1"/>
    <col min="5" max="5" width="33" customWidth="1"/>
    <col min="6" max="6" width="22" customWidth="1"/>
  </cols>
  <sheetData>
    <row r="1" spans="1:6" ht="28" customHeight="1">
      <c r="A1" s="131" t="s">
        <v>97</v>
      </c>
      <c r="B1" s="131"/>
      <c r="C1" s="131"/>
      <c r="D1" s="131"/>
      <c r="E1" s="131"/>
      <c r="F1" s="131"/>
    </row>
    <row r="2" spans="1:6" ht="28" customHeight="1">
      <c r="A2" s="131"/>
      <c r="B2" s="131"/>
      <c r="C2" s="131"/>
      <c r="D2" s="131"/>
      <c r="E2" s="131"/>
      <c r="F2" s="131"/>
    </row>
    <row r="4" spans="1:6">
      <c r="A4" s="35" t="s">
        <v>98</v>
      </c>
      <c r="B4" s="58">
        <v>29</v>
      </c>
    </row>
    <row r="5" spans="1:6">
      <c r="A5" s="35" t="s">
        <v>99</v>
      </c>
      <c r="B5" s="58">
        <v>28</v>
      </c>
    </row>
    <row r="6" spans="1:6">
      <c r="A6" s="35" t="s">
        <v>100</v>
      </c>
      <c r="B6" s="58">
        <v>1</v>
      </c>
    </row>
    <row r="7" spans="1:6">
      <c r="A7" s="35" t="s">
        <v>101</v>
      </c>
      <c r="B7" s="58">
        <v>3</v>
      </c>
    </row>
    <row r="9" spans="1:6" ht="34" customHeight="1">
      <c r="A9" s="36" t="s">
        <v>25</v>
      </c>
      <c r="B9" s="36" t="s">
        <v>102</v>
      </c>
      <c r="C9" s="36" t="s">
        <v>103</v>
      </c>
      <c r="D9" s="36" t="s">
        <v>104</v>
      </c>
      <c r="E9" s="36" t="s">
        <v>105</v>
      </c>
      <c r="F9" s="36" t="s">
        <v>106</v>
      </c>
    </row>
    <row r="10" spans="1:6" ht="42" customHeight="1">
      <c r="A10" s="59" t="s">
        <v>53</v>
      </c>
      <c r="B10" s="60" t="s">
        <v>27</v>
      </c>
      <c r="C10" s="60" t="s">
        <v>54</v>
      </c>
      <c r="D10" s="60" t="s">
        <v>107</v>
      </c>
      <c r="E10" s="60" t="s">
        <v>108</v>
      </c>
      <c r="F10" s="61" t="s">
        <v>109</v>
      </c>
    </row>
    <row r="11" spans="1:6" ht="42" customHeight="1">
      <c r="A11" s="62" t="s">
        <v>53</v>
      </c>
      <c r="B11" s="63" t="s">
        <v>28</v>
      </c>
      <c r="C11" s="63" t="s">
        <v>55</v>
      </c>
      <c r="D11" s="63" t="s">
        <v>110</v>
      </c>
      <c r="E11" s="63" t="s">
        <v>111</v>
      </c>
      <c r="F11" s="64" t="s">
        <v>109</v>
      </c>
    </row>
    <row r="12" spans="1:6" ht="42" customHeight="1">
      <c r="A12" s="62" t="s">
        <v>57</v>
      </c>
      <c r="B12" s="63" t="s">
        <v>29</v>
      </c>
      <c r="C12" s="63" t="s">
        <v>58</v>
      </c>
      <c r="D12" s="63" t="s">
        <v>112</v>
      </c>
      <c r="E12" s="63" t="s">
        <v>113</v>
      </c>
      <c r="F12" s="64" t="s">
        <v>109</v>
      </c>
    </row>
    <row r="13" spans="1:6" ht="42" customHeight="1">
      <c r="A13" s="62" t="s">
        <v>60</v>
      </c>
      <c r="B13" s="63" t="s">
        <v>34</v>
      </c>
      <c r="C13" s="63" t="s">
        <v>114</v>
      </c>
      <c r="D13" s="63" t="s">
        <v>115</v>
      </c>
      <c r="E13" s="63" t="s">
        <v>116</v>
      </c>
      <c r="F13" s="64" t="s">
        <v>117</v>
      </c>
    </row>
    <row r="14" spans="1:6" ht="42" customHeight="1">
      <c r="A14" s="62" t="s">
        <v>65</v>
      </c>
      <c r="B14" s="63" t="s">
        <v>27</v>
      </c>
      <c r="C14" s="63" t="s">
        <v>66</v>
      </c>
      <c r="D14" s="63" t="s">
        <v>107</v>
      </c>
      <c r="E14" s="63" t="s">
        <v>118</v>
      </c>
      <c r="F14" s="64" t="s">
        <v>109</v>
      </c>
    </row>
    <row r="15" spans="1:6" ht="42" customHeight="1">
      <c r="A15" s="62" t="s">
        <v>67</v>
      </c>
      <c r="B15" s="63" t="s">
        <v>35</v>
      </c>
      <c r="C15" s="63" t="s">
        <v>114</v>
      </c>
      <c r="D15" s="63" t="s">
        <v>119</v>
      </c>
      <c r="E15" s="63" t="s">
        <v>116</v>
      </c>
      <c r="F15" s="64" t="s">
        <v>117</v>
      </c>
    </row>
    <row r="16" spans="1:6" ht="42" customHeight="1">
      <c r="A16" s="62" t="s">
        <v>72</v>
      </c>
      <c r="B16" s="63" t="s">
        <v>120</v>
      </c>
      <c r="C16" s="63" t="s">
        <v>121</v>
      </c>
      <c r="D16" s="63" t="s">
        <v>122</v>
      </c>
      <c r="E16" s="63" t="s">
        <v>123</v>
      </c>
      <c r="F16" s="64" t="s">
        <v>109</v>
      </c>
    </row>
    <row r="17" spans="1:6" ht="42" customHeight="1">
      <c r="A17" s="62" t="s">
        <v>74</v>
      </c>
      <c r="B17" s="63" t="s">
        <v>27</v>
      </c>
      <c r="C17" s="63" t="s">
        <v>47</v>
      </c>
      <c r="D17" s="63" t="s">
        <v>124</v>
      </c>
      <c r="E17" s="63" t="s">
        <v>125</v>
      </c>
      <c r="F17" s="64" t="s">
        <v>109</v>
      </c>
    </row>
    <row r="18" spans="1:6" ht="42" customHeight="1">
      <c r="A18" s="62" t="s">
        <v>78</v>
      </c>
      <c r="B18" s="63" t="s">
        <v>31</v>
      </c>
      <c r="C18" s="63">
        <v>23</v>
      </c>
      <c r="D18" s="63" t="s">
        <v>126</v>
      </c>
      <c r="E18" s="63" t="s">
        <v>116</v>
      </c>
      <c r="F18" s="64" t="s">
        <v>117</v>
      </c>
    </row>
    <row r="19" spans="1:6" ht="42" customHeight="1">
      <c r="A19" s="62" t="s">
        <v>80</v>
      </c>
      <c r="B19" s="63" t="s">
        <v>26</v>
      </c>
      <c r="C19" s="63" t="s">
        <v>127</v>
      </c>
      <c r="D19" s="63" t="s">
        <v>128</v>
      </c>
      <c r="E19" s="63" t="s">
        <v>129</v>
      </c>
      <c r="F19" s="64" t="s">
        <v>109</v>
      </c>
    </row>
    <row r="20" spans="1:6" ht="42" customHeight="1">
      <c r="A20" s="65" t="s">
        <v>80</v>
      </c>
      <c r="B20" s="66" t="s">
        <v>28</v>
      </c>
      <c r="C20" s="66" t="s">
        <v>82</v>
      </c>
      <c r="D20" s="66" t="s">
        <v>130</v>
      </c>
      <c r="E20" s="66" t="s">
        <v>131</v>
      </c>
      <c r="F20" s="67" t="s">
        <v>109</v>
      </c>
    </row>
  </sheetData>
  <mergeCells count="1">
    <mergeCell ref="A1:F2"/>
  </mergeCells>
  <conditionalFormatting sqref="F10:F20">
    <cfRule type="containsText" dxfId="0" priority="1" operator="containsText" text="Yes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6"/>
  <sheetViews>
    <sheetView showGridLines="0" tabSelected="1" workbookViewId="0">
      <selection activeCell="M22" sqref="M22"/>
    </sheetView>
  </sheetViews>
  <sheetFormatPr defaultRowHeight="14"/>
  <cols>
    <col min="1" max="1" width="18.6640625" bestFit="1" customWidth="1"/>
    <col min="2" max="2" width="7.4140625" bestFit="1" customWidth="1"/>
    <col min="3" max="3" width="8.33203125" customWidth="1"/>
    <col min="4" max="4" width="8.25" customWidth="1"/>
    <col min="5" max="5" width="9.9140625" customWidth="1"/>
    <col min="6" max="6" width="12.5" customWidth="1"/>
    <col min="7" max="7" width="10.83203125" customWidth="1"/>
    <col min="8" max="8" width="13.58203125" customWidth="1"/>
    <col min="9" max="9" width="10.6640625" customWidth="1"/>
    <col min="10" max="10" width="27" customWidth="1"/>
    <col min="11" max="11" width="21" customWidth="1"/>
    <col min="12" max="17" width="16" customWidth="1"/>
  </cols>
  <sheetData>
    <row r="1" spans="1:17" ht="28" customHeight="1">
      <c r="A1" s="129" t="s">
        <v>132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</row>
    <row r="2" spans="1:17" ht="28" customHeight="1">
      <c r="A2" s="129"/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</row>
    <row r="3" spans="1:17" ht="32" customHeight="1">
      <c r="A3" s="130" t="s">
        <v>133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</row>
    <row r="5" spans="1:17" ht="24" customHeight="1">
      <c r="A5" s="132" t="s">
        <v>134</v>
      </c>
      <c r="B5" s="132"/>
      <c r="C5" s="132"/>
      <c r="D5" s="132"/>
      <c r="E5" s="132"/>
      <c r="F5" s="132"/>
      <c r="G5" s="132"/>
      <c r="H5" s="132"/>
      <c r="I5" s="132"/>
    </row>
    <row r="6" spans="1:17" ht="48" customHeight="1">
      <c r="A6" s="87" t="s">
        <v>135</v>
      </c>
      <c r="B6" s="87" t="s">
        <v>136</v>
      </c>
      <c r="C6" s="87" t="s">
        <v>137</v>
      </c>
      <c r="D6" s="87" t="s">
        <v>138</v>
      </c>
      <c r="E6" s="87" t="s">
        <v>139</v>
      </c>
      <c r="F6" s="87" t="s">
        <v>140</v>
      </c>
      <c r="G6" s="87" t="s">
        <v>141</v>
      </c>
      <c r="H6" s="87" t="s">
        <v>142</v>
      </c>
      <c r="I6" s="87" t="s">
        <v>143</v>
      </c>
    </row>
    <row r="7" spans="1:17">
      <c r="A7" s="72" t="s">
        <v>47</v>
      </c>
      <c r="B7" s="88">
        <f>COUNTIF('Cleaned Sessions'!$C$6:$C$33,$A7)</f>
        <v>7</v>
      </c>
      <c r="C7" s="88">
        <f>SUMIF('Cleaned Sessions'!$C$6:$C$33,$A7,'Cleaned Sessions'!$G$6:$G$33)</f>
        <v>134</v>
      </c>
      <c r="D7" s="88">
        <f>SUMIF('Cleaned Sessions'!$C$6:$C$33,$A7,'Cleaned Sessions'!$M$6:$M$33)</f>
        <v>119</v>
      </c>
      <c r="E7" s="77">
        <f>IF(C7=0,"",D7/C7)</f>
        <v>0.88805970149253732</v>
      </c>
      <c r="F7" s="88">
        <f>COUNTIFS('Cleaned Sessions'!$C$6:$C$33,$A7,'Cleaned Sessions'!$J$6:$J$33,"&lt;&gt;")</f>
        <v>6</v>
      </c>
      <c r="G7" s="76">
        <f>SUMIF('Cleaned Sessions'!$C$6:$C$33,$A7,'Cleaned Sessions'!$O$6:$O$33)</f>
        <v>11805</v>
      </c>
      <c r="H7" s="76">
        <f>IF(F7=0,"",G7/F7)</f>
        <v>1967.5</v>
      </c>
      <c r="I7" s="89">
        <f>AVERAGEIF('Cleaned Sessions'!$C$6:$C$33,$A7,'Cleaned Sessions'!$K$6:$K$33)</f>
        <v>4.4000000000000004</v>
      </c>
    </row>
    <row r="8" spans="1:17">
      <c r="A8" s="73" t="s">
        <v>38</v>
      </c>
      <c r="B8" s="90">
        <f>COUNTIF('Cleaned Sessions'!$C$6:$C$33,$A8)</f>
        <v>7</v>
      </c>
      <c r="C8" s="90">
        <f>SUMIF('Cleaned Sessions'!$C$6:$C$33,$A8,'Cleaned Sessions'!$G$6:$G$33)</f>
        <v>147</v>
      </c>
      <c r="D8" s="90">
        <f>SUMIF('Cleaned Sessions'!$C$6:$C$33,$A8,'Cleaned Sessions'!$M$6:$M$33)</f>
        <v>138</v>
      </c>
      <c r="E8" s="80">
        <f>IF(C8=0,"",D8/C8)</f>
        <v>0.93877551020408168</v>
      </c>
      <c r="F8" s="90">
        <f>COUNTIFS('Cleaned Sessions'!$C$6:$C$33,$A8,'Cleaned Sessions'!$J$6:$J$33,"&lt;&gt;")</f>
        <v>7</v>
      </c>
      <c r="G8" s="79">
        <f>SUMIF('Cleaned Sessions'!$C$6:$C$33,$A8,'Cleaned Sessions'!$O$6:$O$33)</f>
        <v>12790</v>
      </c>
      <c r="H8" s="79">
        <f>IF(F8=0,"",G8/F8)</f>
        <v>1827.1428571428571</v>
      </c>
      <c r="I8" s="91">
        <f>AVERAGEIF('Cleaned Sessions'!$C$6:$C$33,$A8,'Cleaned Sessions'!$K$6:$K$33)</f>
        <v>4.6857142857142859</v>
      </c>
    </row>
    <row r="9" spans="1:17">
      <c r="A9" s="73" t="s">
        <v>50</v>
      </c>
      <c r="B9" s="90">
        <f>COUNTIF('Cleaned Sessions'!$C$6:$C$33,$A9)</f>
        <v>7</v>
      </c>
      <c r="C9" s="90">
        <f>SUMIF('Cleaned Sessions'!$C$6:$C$33,$A9,'Cleaned Sessions'!$G$6:$G$33)</f>
        <v>109</v>
      </c>
      <c r="D9" s="90">
        <f>SUMIF('Cleaned Sessions'!$C$6:$C$33,$A9,'Cleaned Sessions'!$M$6:$M$33)</f>
        <v>98</v>
      </c>
      <c r="E9" s="80">
        <f>IF(C9=0,"",D9/C9)</f>
        <v>0.8990825688073395</v>
      </c>
      <c r="F9" s="90">
        <f>COUNTIFS('Cleaned Sessions'!$C$6:$C$33,$A9,'Cleaned Sessions'!$J$6:$J$33,"&lt;&gt;")</f>
        <v>7</v>
      </c>
      <c r="G9" s="79">
        <f>SUMIF('Cleaned Sessions'!$C$6:$C$33,$A9,'Cleaned Sessions'!$O$6:$O$33)</f>
        <v>10770</v>
      </c>
      <c r="H9" s="79">
        <f>IF(F9=0,"",G9/F9)</f>
        <v>1538.5714285714287</v>
      </c>
      <c r="I9" s="91">
        <f>AVERAGEIF('Cleaned Sessions'!$C$6:$C$33,$A9,'Cleaned Sessions'!$K$6:$K$33)</f>
        <v>4.5857142857142863</v>
      </c>
    </row>
    <row r="10" spans="1:17">
      <c r="A10" s="74" t="s">
        <v>43</v>
      </c>
      <c r="B10" s="92">
        <f>COUNTIF('Cleaned Sessions'!$C$6:$C$33,$A10)</f>
        <v>7</v>
      </c>
      <c r="C10" s="92">
        <f>SUMIF('Cleaned Sessions'!$C$6:$C$33,$A10,'Cleaned Sessions'!$G$6:$G$33)</f>
        <v>140</v>
      </c>
      <c r="D10" s="92">
        <f>SUMIF('Cleaned Sessions'!$C$6:$C$33,$A10,'Cleaned Sessions'!$M$6:$M$33)</f>
        <v>121</v>
      </c>
      <c r="E10" s="83">
        <f>IF(C10=0,"",D10/C10)</f>
        <v>0.86428571428571432</v>
      </c>
      <c r="F10" s="92">
        <f>COUNTIFS('Cleaned Sessions'!$C$6:$C$33,$A10,'Cleaned Sessions'!$J$6:$J$33,"&lt;&gt;")</f>
        <v>7</v>
      </c>
      <c r="G10" s="82">
        <f>SUMIF('Cleaned Sessions'!$C$6:$C$33,$A10,'Cleaned Sessions'!$O$6:$O$33)</f>
        <v>9675</v>
      </c>
      <c r="H10" s="82">
        <f>IF(F10=0,"",G10/F10)</f>
        <v>1382.1428571428571</v>
      </c>
      <c r="I10" s="93">
        <f>AVERAGEIF('Cleaned Sessions'!$C$6:$C$33,$A10,'Cleaned Sessions'!$K$6:$K$33)</f>
        <v>4.2</v>
      </c>
    </row>
    <row r="11" spans="1:17">
      <c r="B11" s="94"/>
      <c r="C11" s="94"/>
      <c r="D11" s="94"/>
      <c r="E11" s="94"/>
      <c r="F11" s="94"/>
      <c r="G11" s="94"/>
      <c r="H11" s="94"/>
      <c r="I11" s="94"/>
    </row>
    <row r="12" spans="1:17">
      <c r="B12" s="94"/>
      <c r="C12" s="94"/>
      <c r="D12" s="94"/>
      <c r="E12" s="94"/>
      <c r="F12" s="94"/>
      <c r="G12" s="94"/>
      <c r="H12" s="94"/>
      <c r="I12" s="94"/>
    </row>
    <row r="13" spans="1:17" ht="24" customHeight="1">
      <c r="A13" s="132" t="s">
        <v>144</v>
      </c>
      <c r="B13" s="133"/>
      <c r="C13" s="133"/>
      <c r="D13" s="133"/>
      <c r="E13" s="133"/>
      <c r="F13" s="133"/>
      <c r="G13" s="133"/>
      <c r="H13" s="133"/>
      <c r="I13" s="133"/>
    </row>
    <row r="14" spans="1:17" ht="48" customHeight="1">
      <c r="A14" s="87" t="s">
        <v>135</v>
      </c>
      <c r="B14" s="95" t="s">
        <v>136</v>
      </c>
      <c r="C14" s="95" t="s">
        <v>137</v>
      </c>
      <c r="D14" s="95" t="s">
        <v>138</v>
      </c>
      <c r="E14" s="95" t="s">
        <v>139</v>
      </c>
      <c r="F14" s="95" t="s">
        <v>140</v>
      </c>
      <c r="G14" s="95" t="s">
        <v>141</v>
      </c>
      <c r="H14" s="95" t="s">
        <v>142</v>
      </c>
      <c r="I14" s="95" t="s">
        <v>143</v>
      </c>
    </row>
    <row r="15" spans="1:17">
      <c r="A15" s="72" t="s">
        <v>44</v>
      </c>
      <c r="B15" s="88">
        <f>COUNTIF('Cleaned Sessions'!$D$6:$D$33,$A15)</f>
        <v>14</v>
      </c>
      <c r="C15" s="88">
        <f>SUMIF('Cleaned Sessions'!$D$6:$D$33,$A15,'Cleaned Sessions'!$G$6:$G$33)</f>
        <v>233</v>
      </c>
      <c r="D15" s="88">
        <f>SUMIF('Cleaned Sessions'!$D$6:$D$33,$A15,'Cleaned Sessions'!$M$6:$M$33)</f>
        <v>217</v>
      </c>
      <c r="E15" s="77">
        <f>IF(C15=0,"",D15/C15)</f>
        <v>0.93133047210300424</v>
      </c>
      <c r="F15" s="88">
        <f>COUNTIFS('Cleaned Sessions'!$D$6:$D$33,$A15,'Cleaned Sessions'!$J$6:$J$33,"&lt;&gt;")</f>
        <v>13</v>
      </c>
      <c r="G15" s="76">
        <f>SUMIF('Cleaned Sessions'!$D$6:$D$33,$A15,'Cleaned Sessions'!$O$6:$O$33)</f>
        <v>20975</v>
      </c>
      <c r="H15" s="76">
        <f>IF(F15=0,"",G15/F15)</f>
        <v>1613.4615384615386</v>
      </c>
      <c r="I15" s="89">
        <f>AVERAGEIF('Cleaned Sessions'!$D$6:$D$33,$A15,'Cleaned Sessions'!$K$6:$K$33)</f>
        <v>4.5785714285714292</v>
      </c>
    </row>
    <row r="16" spans="1:17">
      <c r="A16" s="74" t="s">
        <v>39</v>
      </c>
      <c r="B16" s="92">
        <f>COUNTIF('Cleaned Sessions'!$D$6:$D$33,$A16)</f>
        <v>14</v>
      </c>
      <c r="C16" s="92">
        <f>SUMIF('Cleaned Sessions'!$D$6:$D$33,$A16,'Cleaned Sessions'!$G$6:$G$33)</f>
        <v>297</v>
      </c>
      <c r="D16" s="92">
        <f>SUMIF('Cleaned Sessions'!$D$6:$D$33,$A16,'Cleaned Sessions'!$M$6:$M$33)</f>
        <v>259</v>
      </c>
      <c r="E16" s="83">
        <f>IF(C16=0,"",D16/C16)</f>
        <v>0.87205387205387208</v>
      </c>
      <c r="F16" s="92">
        <f>COUNTIFS('Cleaned Sessions'!$D$6:$D$33,$A16,'Cleaned Sessions'!$J$6:$J$33,"&lt;&gt;")</f>
        <v>14</v>
      </c>
      <c r="G16" s="82">
        <f>SUMIF('Cleaned Sessions'!$D$6:$D$33,$A16,'Cleaned Sessions'!$O$6:$O$33)</f>
        <v>24065</v>
      </c>
      <c r="H16" s="82">
        <f>IF(F16=0,"",G16/F16)</f>
        <v>1718.9285714285713</v>
      </c>
      <c r="I16" s="93">
        <f>AVERAGEIF('Cleaned Sessions'!$D$6:$D$33,$A16,'Cleaned Sessions'!$K$6:$K$33)</f>
        <v>4.3538461538461544</v>
      </c>
    </row>
    <row r="19" spans="1:17" ht="24" customHeight="1">
      <c r="A19" s="132" t="s">
        <v>145</v>
      </c>
      <c r="B19" s="132"/>
      <c r="C19" s="132"/>
      <c r="D19" s="132"/>
      <c r="E19" s="132"/>
      <c r="F19" s="132"/>
      <c r="G19" s="132"/>
      <c r="H19" s="132"/>
      <c r="I19" s="132"/>
      <c r="J19" s="130" t="s">
        <v>146</v>
      </c>
      <c r="K19" s="130"/>
      <c r="L19" s="130"/>
      <c r="M19" s="130"/>
      <c r="N19" s="130"/>
      <c r="O19" s="130"/>
      <c r="P19" s="130"/>
      <c r="Q19" s="130"/>
    </row>
    <row r="20" spans="1:17" ht="28" customHeight="1">
      <c r="A20" s="134" t="s">
        <v>147</v>
      </c>
      <c r="B20" s="134"/>
      <c r="C20" s="134"/>
      <c r="D20" s="134"/>
      <c r="E20" s="134" t="s">
        <v>148</v>
      </c>
      <c r="F20" s="134"/>
      <c r="G20" s="134"/>
      <c r="H20" s="134"/>
      <c r="I20" s="134"/>
      <c r="J20" s="130"/>
      <c r="K20" s="130"/>
      <c r="L20" s="130"/>
      <c r="M20" s="130"/>
      <c r="N20" s="130"/>
      <c r="O20" s="130"/>
      <c r="P20" s="130"/>
      <c r="Q20" s="130"/>
    </row>
    <row r="21" spans="1:17" ht="62" customHeight="1">
      <c r="A21" s="135" t="s">
        <v>149</v>
      </c>
      <c r="B21" s="135"/>
      <c r="C21" s="135"/>
      <c r="D21" s="135"/>
      <c r="E21" s="135" t="s">
        <v>150</v>
      </c>
      <c r="F21" s="135"/>
      <c r="G21" s="135"/>
      <c r="H21" s="135"/>
      <c r="I21" s="135"/>
    </row>
    <row r="22" spans="1:17" ht="62" customHeight="1">
      <c r="A22" s="135" t="s">
        <v>151</v>
      </c>
      <c r="B22" s="135"/>
      <c r="C22" s="135"/>
      <c r="D22" s="135"/>
      <c r="E22" s="135" t="s">
        <v>152</v>
      </c>
      <c r="F22" s="135"/>
      <c r="G22" s="135"/>
      <c r="H22" s="135"/>
      <c r="I22" s="135"/>
      <c r="J22" s="96" t="s">
        <v>27</v>
      </c>
      <c r="K22" s="96" t="s">
        <v>153</v>
      </c>
    </row>
    <row r="23" spans="1:17" ht="62" customHeight="1">
      <c r="A23" s="135" t="s">
        <v>154</v>
      </c>
      <c r="B23" s="135"/>
      <c r="C23" s="135"/>
      <c r="D23" s="135"/>
      <c r="E23" s="135" t="s">
        <v>155</v>
      </c>
      <c r="F23" s="135"/>
      <c r="G23" s="135"/>
      <c r="H23" s="135"/>
      <c r="I23" s="135"/>
      <c r="J23" s="69" t="str">
        <f>A10</f>
        <v>Excel Essentials</v>
      </c>
      <c r="K23" s="97">
        <f>H10</f>
        <v>1382.1428571428571</v>
      </c>
    </row>
    <row r="24" spans="1:17">
      <c r="J24" s="70" t="str">
        <f>A9</f>
        <v>Present with Confidence</v>
      </c>
      <c r="K24" s="98">
        <f>H9</f>
        <v>1538.5714285714287</v>
      </c>
    </row>
    <row r="25" spans="1:17">
      <c r="J25" s="70" t="str">
        <f>A8</f>
        <v>AI at Work</v>
      </c>
      <c r="K25" s="98">
        <f>H8</f>
        <v>1827.1428571428571</v>
      </c>
    </row>
    <row r="26" spans="1:17">
      <c r="J26" s="71" t="str">
        <f>A7</f>
        <v>Project Planning</v>
      </c>
      <c r="K26" s="99">
        <f>H7</f>
        <v>1967.5</v>
      </c>
    </row>
  </sheetData>
  <mergeCells count="14">
    <mergeCell ref="A21:D21"/>
    <mergeCell ref="E21:I21"/>
    <mergeCell ref="A22:D22"/>
    <mergeCell ref="E22:I22"/>
    <mergeCell ref="A23:D23"/>
    <mergeCell ref="E23:I23"/>
    <mergeCell ref="A1:Q2"/>
    <mergeCell ref="A3:Q3"/>
    <mergeCell ref="A5:I5"/>
    <mergeCell ref="A13:I13"/>
    <mergeCell ref="J19:Q20"/>
    <mergeCell ref="A19:I19"/>
    <mergeCell ref="A20:D20"/>
    <mergeCell ref="E20:I2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Workshop Sessions</vt:lpstr>
      <vt:lpstr>Cleaned Sessions</vt:lpstr>
      <vt:lpstr>Data Issues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 Price</cp:lastModifiedBy>
  <dcterms:modified xsi:type="dcterms:W3CDTF">2026-07-30T16:52:12Z</dcterms:modified>
</cp:coreProperties>
</file>