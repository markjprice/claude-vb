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Workshop Sessions" sheetId="2" state="visible" r:id="rId4"/>
    <sheet name="Cleaned Sessions" sheetId="3" state="visible" r:id="rId5"/>
    <sheet name="Data Issues" sheetId="4" state="visible" r:id="rId6"/>
    <sheet name="Analysis" sheetId="5" state="visible" r:id="rId7"/>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<sst xmlns="http://schemas.openxmlformats.org/spreadsheetml/2006/main" count="441" uniqueCount="165">
  <si>
    <t xml:space="preserve">Brightside Learning: workshop session data</t>
  </si>
  <si>
    <t xml:space="preserve">Purpose of this sample</t>
  </si>
  <si>
    <t xml:space="preserve">This fictional workbook contains one row for each workshop session run from April through June 2026. Use it to practice explaining, cleaning, calculating, and visualizing spreadsheet data with ChatGPT.</t>
  </si>
  <si>
    <t xml:space="preserve">Business question</t>
  </si>
  <si>
    <t xml:space="preserve">Which courses and delivery formats should Brightside Learning schedule more often next quarter, based on net revenue per session, attendance rate, and satisfaction?</t>
  </si>
  <si>
    <t xml:space="preserve">Measure</t>
  </si>
  <si>
    <t xml:space="preserve">How to calculate it</t>
  </si>
  <si>
    <t xml:space="preserve">Why it matters</t>
  </si>
  <si>
    <t xml:space="preserve">Before you calculate</t>
  </si>
  <si>
    <t xml:space="preserve">Gross revenue</t>
  </si>
  <si>
    <t xml:space="preserve">Bookings × fee per attendee</t>
  </si>
  <si>
    <t xml:space="preserve">Shows sales before refunds</t>
  </si>
  <si>
    <t xml:space="preserve">The source data contains deliberate quality problems. Ask ChatGPT to find and report them before changing any values. Do not guess missing information. Keep the original sheet unchanged and make a cleaned copy.</t>
  </si>
  <si>
    <t xml:space="preserve">Net revenue</t>
  </si>
  <si>
    <t xml:space="preserve">Gross revenue − refunds</t>
  </si>
  <si>
    <t xml:space="preserve">Shows revenue kept after refunds</t>
  </si>
  <si>
    <t xml:space="preserve">Attendance rate</t>
  </si>
  <si>
    <t xml:space="preserve">(Bookings − no-shows) ÷ bookings</t>
  </si>
  <si>
    <t xml:space="preserve">Shows how many booked attendees came</t>
  </si>
  <si>
    <t xml:space="preserve">Satisfaction</t>
  </si>
  <si>
    <t xml:space="preserve">Average of stated scores from 1 to 5</t>
  </si>
  <si>
    <t xml:space="preserve">Shows how attendees rated a session</t>
  </si>
  <si>
    <t xml:space="preserve">All names, sessions, and figures are fictional. Currency values are in US dollars.</t>
  </si>
  <si>
    <t xml:space="preserve">Brightside Learning: raw workshop sessions</t>
  </si>
  <si>
    <t xml:space="preserve">Source data for April-June 2026. Inspect and clean this sheet before using it for calculations.</t>
  </si>
  <si>
    <t xml:space="preserve">Session ID</t>
  </si>
  <si>
    <t xml:space="preserve">Session date</t>
  </si>
  <si>
    <t xml:space="preserve">Course</t>
  </si>
  <si>
    <t xml:space="preserve">Delivery format</t>
  </si>
  <si>
    <t xml:space="preserve">Location</t>
  </si>
  <si>
    <t xml:space="preserve">Capacity</t>
  </si>
  <si>
    <t xml:space="preserve">Bookings</t>
  </si>
  <si>
    <t xml:space="preserve">No-shows</t>
  </si>
  <si>
    <t xml:space="preserve">Fee per attendee</t>
  </si>
  <si>
    <t xml:space="preserve">Refunds</t>
  </si>
  <si>
    <t xml:space="preserve">Satisfaction (1-5)</t>
  </si>
  <si>
    <t xml:space="preserve">Session note</t>
  </si>
  <si>
    <t xml:space="preserve">S-101</t>
  </si>
  <si>
    <t xml:space="preserve">AI at Work</t>
  </si>
  <si>
    <t xml:space="preserve">Online</t>
  </si>
  <si>
    <t xml:space="preserve">Remote</t>
  </si>
  <si>
    <t xml:space="preserve">Strong demand from first-time customers</t>
  </si>
  <si>
    <t xml:space="preserve">S-102</t>
  </si>
  <si>
    <t xml:space="preserve">Excel Essentials</t>
  </si>
  <si>
    <t xml:space="preserve">In-person</t>
  </si>
  <si>
    <t xml:space="preserve">Austin</t>
  </si>
  <si>
    <t xml:space="preserve">S-103</t>
  </si>
  <si>
    <t xml:space="preserve">Project Planning</t>
  </si>
  <si>
    <t xml:space="preserve">Two attendees received full refunds</t>
  </si>
  <si>
    <t xml:space="preserve">S-104</t>
  </si>
  <si>
    <t xml:space="preserve">Present with Confidence</t>
  </si>
  <si>
    <t xml:space="preserve">Chicago</t>
  </si>
  <si>
    <t xml:space="preserve">Small group worked well</t>
  </si>
  <si>
    <t xml:space="preserve">S-105</t>
  </si>
  <si>
    <t xml:space="preserve">AI at work</t>
  </si>
  <si>
    <t xml:space="preserve">In person</t>
  </si>
  <si>
    <t xml:space="preserve">Denver</t>
  </si>
  <si>
    <t xml:space="preserve">S-106</t>
  </si>
  <si>
    <t xml:space="preserve">REMOTE</t>
  </si>
  <si>
    <t xml:space="preserve">Several late cancellations</t>
  </si>
  <si>
    <t xml:space="preserve">S-107</t>
  </si>
  <si>
    <t xml:space="preserve">Refund total not entered</t>
  </si>
  <si>
    <t xml:space="preserve">S-108</t>
  </si>
  <si>
    <t xml:space="preserve">S-109</t>
  </si>
  <si>
    <t xml:space="preserve">Waitlist opened</t>
  </si>
  <si>
    <t xml:space="preserve">S-110</t>
  </si>
  <si>
    <t xml:space="preserve">Excel essentials</t>
  </si>
  <si>
    <t xml:space="preserve">S-111</t>
  </si>
  <si>
    <t xml:space="preserve">Feedback form was not sent</t>
  </si>
  <si>
    <t xml:space="preserve">S-112</t>
  </si>
  <si>
    <t xml:space="preserve">Highest satisfaction this month</t>
  </si>
  <si>
    <t xml:space="preserve">S-113</t>
  </si>
  <si>
    <t xml:space="preserve">S-114</t>
  </si>
  <si>
    <t xml:space="preserve">Platform outage delayed the start</t>
  </si>
  <si>
    <t xml:space="preserve">S-115</t>
  </si>
  <si>
    <t xml:space="preserve">Project Planning </t>
  </si>
  <si>
    <t xml:space="preserve">S-116</t>
  </si>
  <si>
    <t xml:space="preserve">S-117</t>
  </si>
  <si>
    <t xml:space="preserve">S-118</t>
  </si>
  <si>
    <t xml:space="preserve">S-119</t>
  </si>
  <si>
    <t xml:space="preserve">Bookings exceed listed capacity</t>
  </si>
  <si>
    <t xml:space="preserve">S-120</t>
  </si>
  <si>
    <t xml:space="preserve">June 12, 2026</t>
  </si>
  <si>
    <t xml:space="preserve">online</t>
  </si>
  <si>
    <t xml:space="preserve">Date stored differently from other rows</t>
  </si>
  <si>
    <t xml:space="preserve">S-121</t>
  </si>
  <si>
    <t xml:space="preserve">S-122</t>
  </si>
  <si>
    <t xml:space="preserve">S-123</t>
  </si>
  <si>
    <t xml:space="preserve">S-124</t>
  </si>
  <si>
    <t xml:space="preserve">S-125</t>
  </si>
  <si>
    <t xml:space="preserve">S-126</t>
  </si>
  <si>
    <t xml:space="preserve">S-127</t>
  </si>
  <si>
    <t xml:space="preserve">S-128</t>
  </si>
  <si>
    <t xml:space="preserve">One attendee received a full refund</t>
  </si>
  <si>
    <t xml:space="preserve">Brightside Learning: cleaned workshop sessions</t>
  </si>
  <si>
    <t xml:space="preserve">Cleaned copy of the Workshop Sessions sheet. Exact duplicate rows removed, text values standardized where they clearly refer to the same course, format, or location, and recognizable text dates converted to real dates. Missing values and questionable figures were left as-is - see the Data Issues sheet.</t>
  </si>
  <si>
    <t xml:space="preserve">Attended</t>
  </si>
  <si>
    <t xml:space="preserve">Review flag</t>
  </si>
  <si>
    <t xml:space="preserve">Data quality review: Workshop Sessions</t>
  </si>
  <si>
    <t xml:space="preserve">Original row count (Workshop Sessions)</t>
  </si>
  <si>
    <t xml:space="preserve">Cleaned row count (Cleaned Sessions)</t>
  </si>
  <si>
    <t xml:space="preserve">Duplicate rows removed</t>
  </si>
  <si>
    <t xml:space="preserve">Unresolved issues needing human review</t>
  </si>
  <si>
    <t xml:space="preserve">Column</t>
  </si>
  <si>
    <t xml:space="preserve">Original value</t>
  </si>
  <si>
    <t xml:space="preserve">Problem found</t>
  </si>
  <si>
    <t xml:space="preserve">Change made</t>
  </si>
  <si>
    <t xml:space="preserve">Human review needed?</t>
  </si>
  <si>
    <t xml:space="preserve">'AI at work'</t>
  </si>
  <si>
    <t xml:space="preserve">Inconsistent capitalization/spelling</t>
  </si>
  <si>
    <t xml:space="preserve">Standardized to "AI at Work"</t>
  </si>
  <si>
    <t xml:space="preserve">No</t>
  </si>
  <si>
    <t xml:space="preserve">'In person'</t>
  </si>
  <si>
    <t xml:space="preserve">Inconsistent capitalization/formatting</t>
  </si>
  <si>
    <t xml:space="preserve">Standardized to "In-person"</t>
  </si>
  <si>
    <t xml:space="preserve">'REMOTE'</t>
  </si>
  <si>
    <t xml:space="preserve">Inconsistent capitalization</t>
  </si>
  <si>
    <t xml:space="preserve">Standardized to "Remote"</t>
  </si>
  <si>
    <t xml:space="preserve">4</t>
  </si>
  <si>
    <t xml:space="preserve">Stored as a whole number while other sessions use one decimal place</t>
  </si>
  <si>
    <t xml:space="preserve">No change made - value is valid, formatting differs only</t>
  </si>
  <si>
    <t xml:space="preserve">(blank)</t>
  </si>
  <si>
    <t xml:space="preserve">Missing value (session note: "Refund total not entered")</t>
  </si>
  <si>
    <t xml:space="preserve">No change made - left blank</t>
  </si>
  <si>
    <t xml:space="preserve">Yes</t>
  </si>
  <si>
    <t xml:space="preserve">'Excel essentials'</t>
  </si>
  <si>
    <t xml:space="preserve">Standardized to "Excel Essentials"</t>
  </si>
  <si>
    <t xml:space="preserve">Missing value (session note: "Feedback form was not sent")</t>
  </si>
  <si>
    <t xml:space="preserve">(entire row)</t>
  </si>
  <si>
    <t xml:space="preserve">Duplicate of row for S-114</t>
  </si>
  <si>
    <t xml:space="preserve">Exact duplicate row</t>
  </si>
  <si>
    <t xml:space="preserve">Row removed</t>
  </si>
  <si>
    <t xml:space="preserve">'Project Planning '</t>
  </si>
  <si>
    <t xml:space="preserve">Trailing space in course name</t>
  </si>
  <si>
    <t xml:space="preserve">Standardized to "Project Planning"</t>
  </si>
  <si>
    <t xml:space="preserve">Bookings / Capacity</t>
  </si>
  <si>
    <t xml:space="preserve">Bookings=23, Capacity=20</t>
  </si>
  <si>
    <t xml:space="preserve">No change made</t>
  </si>
  <si>
    <t xml:space="preserve">'online'</t>
  </si>
  <si>
    <t xml:space="preserve">Standardized to "Online"</t>
  </si>
  <si>
    <t xml:space="preserve">'June 12, 2026'</t>
  </si>
  <si>
    <t xml:space="preserve">Date stored as text instead of a real date</t>
  </si>
  <si>
    <t xml:space="preserve">Converted to date value 2026-06-12</t>
  </si>
  <si>
    <t xml:space="preserve">Brightside Learning: session analysis</t>
  </si>
  <si>
    <t xml:space="preserve">Business question: which courses and delivery formats should be scheduled more often next quarter, based on net revenue per session, attendance rate, and satisfaction?</t>
  </si>
  <si>
    <t xml:space="preserve">1. Summary by course</t>
  </si>
  <si>
    <t xml:space="preserve">Sessions</t>
  </si>
  <si>
    <t xml:space="preserve">Total bookings</t>
  </si>
  <si>
    <t xml:space="preserve">Total attended</t>
  </si>
  <si>
    <t xml:space="preserve">Sessions with known net revenue</t>
  </si>
  <si>
    <t xml:space="preserve">Total known net revenue</t>
  </si>
  <si>
    <t xml:space="preserve">Avg net revenue / session (known)</t>
  </si>
  <si>
    <t xml:space="preserve">Avg satisfaction (excl. missing)</t>
  </si>
  <si>
    <t xml:space="preserve">2. Summary by delivery format</t>
  </si>
  <si>
    <t xml:space="preserve">Chart data: average net revenue per session by course, sorted highest to lowest. Uses only sessions with known refund information (missing-refund sessions excluded).</t>
  </si>
  <si>
    <t xml:space="preserve">Observations for next quarter's schedule</t>
  </si>
  <si>
    <t xml:space="preserve">Fact:</t>
  </si>
  <si>
    <t xml:space="preserve">Among sessions with known refunds, Project Planning earns the highest average net revenue per session (about $1,968), followed by AI at Work (about $1,827); Excel Essentials is lowest (about $1,382).</t>
  </si>
  <si>
    <t xml:space="preserve">Interpretation:</t>
  </si>
  <si>
    <t xml:space="preserve">If revenue is the priority, Project Planning and AI at Work look like the stronger candidates to schedule more often next quarter - but this should be weighed against attendance and satisfaction below, not revenue alone.</t>
  </si>
  <si>
    <t xml:space="preserve">In-person sessions have a higher attendance rate (about 93%) than online sessions (about 87%), even though online sessions had more total bookings (297 vs. 233).</t>
  </si>
  <si>
    <t xml:space="preserve">Online formats may be attracting more sign-ups, but a larger share of those bookings don't show up. In-person sessions convert bookings into attendees more reliably.</t>
  </si>
  <si>
    <t xml:space="preserve">Average satisfaction is close across courses (roughly 4.2 to 4.7 out of 5) and across formats (about 4.6 in-person vs. 4.4 online) - satisfaction does not clearly separate one course or format from another the way net revenue and attendance rate do.</t>
  </si>
  <si>
    <t xml:space="preserve">Interpretation / limitation:</t>
  </si>
  <si>
    <t xml:space="preserve">These summaries should be treated as directional, not final. Two known data issues limit confidence: session S-107 is missing its refund amount, so it is excluded from every net revenue figure above (and flagged in the Cleaned Sessions sheet); and session S-119 had more bookings than its listed capacity, which is left unexplained. Both should be confirmed with whoever owns the source data before these numbers are used to finalize the schedule.</t>
  </si>
</sst>
</file>

<file path=xl/styles.xml><?xml version="1.0" encoding="utf-8"?>
<styleSheet xmlns="http://schemas.openxmlformats.org/spreadsheetml/2006/main">
  <numFmts count="11">
    <numFmt numFmtId="164" formatCode="General"/>
    <numFmt numFmtId="165" formatCode="mmm\ d&quot;, &quot;yyyy"/>
    <numFmt numFmtId="166" formatCode="#,##0"/>
    <numFmt numFmtId="167" formatCode="&quot;US$&quot;#,##0"/>
    <numFmt numFmtId="168" formatCode="0.0"/>
    <numFmt numFmtId="169" formatCode="yyyy\-mm\-dd"/>
    <numFmt numFmtId="170" formatCode="\$#,##0"/>
    <numFmt numFmtId="171" formatCode="General"/>
    <numFmt numFmtId="172" formatCode="\$#,##0"/>
    <numFmt numFmtId="173" formatCode="0.0%"/>
    <numFmt numFmtId="174" formatCode="0.00"/>
  </numFmts>
  <fonts count="26">
    <font>
      <sz val="10"/>
      <name val="Arial"/>
      <family val="2"/>
      <charset val="1"/>
    </font>
    <font>
      <sz val="10"/>
      <name val="Arial"/>
      <family val="0"/>
    </font>
    <font>
      <sz val="10"/>
      <name val="Arial"/>
      <family val="0"/>
    </font>
    <font>
      <sz val="10"/>
      <name val="Arial"/>
      <family val="0"/>
    </font>
    <font>
      <b val="true"/>
      <sz val="20"/>
      <color rgb="FFFFFFFF"/>
      <name val="Aptos"/>
      <family val="0"/>
      <charset val="1"/>
    </font>
    <font>
      <sz val="11"/>
      <name val="Aptos"/>
      <family val="0"/>
      <charset val="1"/>
    </font>
    <font>
      <b val="true"/>
      <sz val="12"/>
      <color rgb="FFFFFFFF"/>
      <name val="Aptos"/>
      <family val="0"/>
      <charset val="1"/>
    </font>
    <font>
      <sz val="11"/>
      <color rgb="FF263238"/>
      <name val="Aptos"/>
      <family val="0"/>
      <charset val="1"/>
    </font>
    <font>
      <b val="true"/>
      <sz val="11"/>
      <color rgb="FF263238"/>
      <name val="Aptos"/>
      <family val="0"/>
      <charset val="1"/>
    </font>
    <font>
      <b val="true"/>
      <sz val="11"/>
      <color rgb="FFFFFFFF"/>
      <name val="Aptos"/>
      <family val="0"/>
      <charset val="1"/>
    </font>
    <font>
      <i val="true"/>
      <sz val="10"/>
      <color rgb="FF5F6B72"/>
      <name val="Aptos"/>
      <family val="0"/>
      <charset val="1"/>
    </font>
    <font>
      <b val="true"/>
      <sz val="18"/>
      <color rgb="FFFFFFFF"/>
      <name val="Aptos Display"/>
      <family val="0"/>
      <charset val="1"/>
    </font>
    <font>
      <i val="true"/>
      <sz val="10"/>
      <color rgb="FF263238"/>
      <name val="Aptos"/>
      <family val="0"/>
      <charset val="1"/>
    </font>
    <font>
      <b val="true"/>
      <sz val="10"/>
      <color rgb="FFFFFFFF"/>
      <name val="Aptos"/>
      <family val="0"/>
      <charset val="1"/>
    </font>
    <font>
      <sz val="10"/>
      <color rgb="FF263238"/>
      <name val="Aptos"/>
      <family val="0"/>
      <charset val="1"/>
    </font>
    <font>
      <b val="true"/>
      <sz val="14"/>
      <name val="Arial"/>
      <family val="0"/>
      <charset val="1"/>
    </font>
    <font>
      <i val="true"/>
      <sz val="10"/>
      <name val="Arial"/>
      <family val="0"/>
      <charset val="1"/>
    </font>
    <font>
      <b val="true"/>
      <sz val="11"/>
      <color rgb="FFFFFFFF"/>
      <name val="Arial"/>
      <family val="0"/>
      <charset val="1"/>
    </font>
    <font>
      <sz val="11"/>
      <name val="Arial"/>
      <family val="0"/>
      <charset val="1"/>
    </font>
    <font>
      <sz val="11"/>
      <color rgb="FFC00000"/>
      <name val="Arial"/>
      <family val="0"/>
      <charset val="1"/>
    </font>
    <font>
      <b val="true"/>
      <sz val="11"/>
      <name val="Arial"/>
      <family val="0"/>
      <charset val="1"/>
    </font>
    <font>
      <b val="true"/>
      <sz val="11"/>
      <color rgb="FFC00000"/>
      <name val="Arial"/>
      <family val="0"/>
      <charset val="1"/>
    </font>
    <font>
      <b val="true"/>
      <sz val="12"/>
      <name val="Arial"/>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24364B"/>
        <bgColor rgb="FF263238"/>
      </patternFill>
    </fill>
    <fill>
      <patternFill patternType="solid">
        <fgColor rgb="FF2F6F6D"/>
        <bgColor rgb="FF156082"/>
      </patternFill>
    </fill>
    <fill>
      <patternFill patternType="solid">
        <fgColor rgb="FFFBF8F1"/>
        <bgColor rgb="FFFFFFFF"/>
      </patternFill>
    </fill>
    <fill>
      <patternFill patternType="solid">
        <fgColor rgb="FFDDEBE8"/>
        <bgColor rgb="FFE3E6E8"/>
      </patternFill>
    </fill>
    <fill>
      <patternFill patternType="solid">
        <fgColor rgb="FFB66A3C"/>
        <bgColor rgb="FF808080"/>
      </patternFill>
    </fill>
    <fill>
      <patternFill patternType="solid">
        <fgColor rgb="FFF3E7CC"/>
        <bgColor rgb="FFE3E6E8"/>
      </patternFill>
    </fill>
    <fill>
      <patternFill patternType="solid">
        <fgColor rgb="FF4472C4"/>
        <bgColor rgb="FF2F6F6D"/>
      </patternFill>
    </fill>
    <fill>
      <patternFill patternType="solid">
        <fgColor rgb="FFC00000"/>
        <bgColor rgb="FF800000"/>
      </patternFill>
    </fill>
  </fills>
  <borders count="21">
    <border diagonalUp="false" diagonalDown="false">
      <left/>
      <right/>
      <top/>
      <bottom/>
      <diagonal/>
    </border>
    <border diagonalUp="false" diagonalDown="false">
      <left style="thin">
        <color rgb="FFCAD1D4"/>
      </left>
      <right style="thin">
        <color rgb="FFCAD1D4"/>
      </right>
      <top style="thin">
        <color rgb="FFCAD1D4"/>
      </top>
      <bottom style="thin">
        <color rgb="FFCAD1D4"/>
      </bottom>
      <diagonal/>
    </border>
    <border diagonalUp="false" diagonalDown="false">
      <left/>
      <right style="thin">
        <color rgb="FFFFFFFF"/>
      </right>
      <top/>
      <bottom/>
      <diagonal/>
    </border>
    <border diagonalUp="false" diagonalDown="false">
      <left style="thin">
        <color rgb="FFFFFFFF"/>
      </left>
      <right style="thin">
        <color rgb="FFFFFFFF"/>
      </right>
      <top/>
      <bottom/>
      <diagonal/>
    </border>
    <border diagonalUp="false" diagonalDown="false">
      <left style="thin">
        <color rgb="FFFFFFFF"/>
      </left>
      <right/>
      <top/>
      <bottom/>
      <diagonal/>
    </border>
    <border diagonalUp="false" diagonalDown="false">
      <left style="thin">
        <color rgb="FFCAD1D4"/>
      </left>
      <right/>
      <top/>
      <bottom style="thin">
        <color rgb="FFCAD1D4"/>
      </bottom>
      <diagonal/>
    </border>
    <border diagonalUp="false" diagonalDown="false">
      <left/>
      <right/>
      <top/>
      <bottom style="thin">
        <color rgb="FFCAD1D4"/>
      </bottom>
      <diagonal/>
    </border>
    <border diagonalUp="false" diagonalDown="false">
      <left/>
      <right style="thin">
        <color rgb="FFCAD1D4"/>
      </right>
      <top/>
      <bottom style="thin">
        <color rgb="FFCAD1D4"/>
      </bottom>
      <diagonal/>
    </border>
    <border diagonalUp="false" diagonalDown="false">
      <left style="thin">
        <color rgb="FFD2B477"/>
      </left>
      <right style="thin">
        <color rgb="FFD2B477"/>
      </right>
      <top style="thin">
        <color rgb="FFD2B477"/>
      </top>
      <bottom style="thin">
        <color rgb="FFD2B477"/>
      </bottom>
      <diagonal/>
    </border>
    <border diagonalUp="false" diagonalDown="false">
      <left style="thin">
        <color rgb="FFCAD1D4"/>
      </left>
      <right/>
      <top style="thin">
        <color rgb="FFCAD1D4"/>
      </top>
      <bottom style="thin">
        <color rgb="FFCAD1D4"/>
      </bottom>
      <diagonal/>
    </border>
    <border diagonalUp="false" diagonalDown="false">
      <left/>
      <right/>
      <top style="thin">
        <color rgb="FFCAD1D4"/>
      </top>
      <bottom style="thin">
        <color rgb="FFCAD1D4"/>
      </bottom>
      <diagonal/>
    </border>
    <border diagonalUp="false" diagonalDown="false">
      <left/>
      <right style="thin">
        <color rgb="FFCAD1D4"/>
      </right>
      <top style="thin">
        <color rgb="FFCAD1D4"/>
      </top>
      <bottom style="thin">
        <color rgb="FFCAD1D4"/>
      </bottom>
      <diagonal/>
    </border>
    <border diagonalUp="false" diagonalDown="false">
      <left/>
      <right style="thin">
        <color rgb="FFEEF0F1"/>
      </right>
      <top/>
      <bottom style="thin">
        <color rgb="FFE3E6E8"/>
      </bottom>
      <diagonal/>
    </border>
    <border diagonalUp="false" diagonalDown="false">
      <left style="thin">
        <color rgb="FFEEF0F1"/>
      </left>
      <right style="thin">
        <color rgb="FFEEF0F1"/>
      </right>
      <top/>
      <bottom style="thin">
        <color rgb="FFE3E6E8"/>
      </bottom>
      <diagonal/>
    </border>
    <border diagonalUp="false" diagonalDown="false">
      <left style="thin">
        <color rgb="FFEEF0F1"/>
      </left>
      <right/>
      <top/>
      <bottom style="thin">
        <color rgb="FFE3E6E8"/>
      </bottom>
      <diagonal/>
    </border>
    <border diagonalUp="false" diagonalDown="false">
      <left/>
      <right style="thin">
        <color rgb="FFEEF0F1"/>
      </right>
      <top style="thin">
        <color rgb="FFE3E6E8"/>
      </top>
      <bottom style="thin">
        <color rgb="FFE3E6E8"/>
      </bottom>
      <diagonal/>
    </border>
    <border diagonalUp="false" diagonalDown="false">
      <left style="thin">
        <color rgb="FFEEF0F1"/>
      </left>
      <right style="thin">
        <color rgb="FFEEF0F1"/>
      </right>
      <top style="thin">
        <color rgb="FFE3E6E8"/>
      </top>
      <bottom style="thin">
        <color rgb="FFE3E6E8"/>
      </bottom>
      <diagonal/>
    </border>
    <border diagonalUp="false" diagonalDown="false">
      <left style="thin">
        <color rgb="FFEEF0F1"/>
      </left>
      <right/>
      <top style="thin">
        <color rgb="FFE3E6E8"/>
      </top>
      <bottom style="thin">
        <color rgb="FFE3E6E8"/>
      </bottom>
      <diagonal/>
    </border>
    <border diagonalUp="false" diagonalDown="false">
      <left/>
      <right style="thin">
        <color rgb="FFEEF0F1"/>
      </right>
      <top style="thin">
        <color rgb="FFE3E6E8"/>
      </top>
      <bottom style="thin">
        <color rgb="FFCAD1D4"/>
      </bottom>
      <diagonal/>
    </border>
    <border diagonalUp="false" diagonalDown="false">
      <left style="thin">
        <color rgb="FFEEF0F1"/>
      </left>
      <right style="thin">
        <color rgb="FFEEF0F1"/>
      </right>
      <top style="thin">
        <color rgb="FFE3E6E8"/>
      </top>
      <bottom style="thin">
        <color rgb="FFCAD1D4"/>
      </bottom>
      <diagonal/>
    </border>
    <border diagonalUp="false" diagonalDown="false">
      <left style="thin">
        <color rgb="FFEEF0F1"/>
      </left>
      <right/>
      <top style="thin">
        <color rgb="FFE3E6E8"/>
      </top>
      <bottom style="thin">
        <color rgb="FFCAD1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9" fillId="2" borderId="2" xfId="0" applyFont="true" applyBorder="true" applyAlignment="true" applyProtection="false">
      <alignment horizontal="general" vertical="bottom" textRotation="0" wrapText="false" indent="0" shrinkToFit="false"/>
      <protection locked="true" hidden="false"/>
    </xf>
    <xf numFmtId="164" fontId="9" fillId="2" borderId="3" xfId="0" applyFont="true" applyBorder="true" applyAlignment="tru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general" vertical="bottom" textRotation="0" wrapText="false" indent="0" shrinkToFit="false"/>
      <protection locked="true" hidden="false"/>
    </xf>
    <xf numFmtId="164" fontId="9" fillId="6" borderId="0" xfId="0" applyFont="true" applyBorder="true" applyAlignment="true" applyProtection="false">
      <alignment horizontal="general" vertical="bottom" textRotation="0" wrapText="false" indent="0" shrinkToFit="false"/>
      <protection locked="true" hidden="false"/>
    </xf>
    <xf numFmtId="164" fontId="7" fillId="4" borderId="5" xfId="0" applyFont="true" applyBorder="true" applyAlignment="true" applyProtection="false">
      <alignment horizontal="general" vertical="center" textRotation="0" wrapText="true" indent="0" shrinkToFit="false"/>
      <protection locked="true" hidden="false"/>
    </xf>
    <xf numFmtId="164" fontId="7" fillId="4" borderId="6" xfId="0" applyFont="true" applyBorder="true" applyAlignment="true" applyProtection="false">
      <alignment horizontal="general" vertical="center" textRotation="0" wrapText="true" indent="0" shrinkToFit="false"/>
      <protection locked="true" hidden="false"/>
    </xf>
    <xf numFmtId="164" fontId="7" fillId="4" borderId="7" xfId="0" applyFont="true" applyBorder="true" applyAlignment="true" applyProtection="false">
      <alignment horizontal="general" vertical="center" textRotation="0" wrapText="true" indent="0" shrinkToFit="false"/>
      <protection locked="true" hidden="false"/>
    </xf>
    <xf numFmtId="164" fontId="7" fillId="7" borderId="8" xfId="0" applyFont="true" applyBorder="true" applyAlignment="true" applyProtection="false">
      <alignment horizontal="general" vertical="center" textRotation="0" wrapText="true" indent="0" shrinkToFit="false"/>
      <protection locked="true" hidden="false"/>
    </xf>
    <xf numFmtId="164" fontId="7" fillId="4" borderId="9" xfId="0" applyFont="true" applyBorder="true" applyAlignment="true" applyProtection="false">
      <alignment horizontal="general" vertical="center" textRotation="0" wrapText="true" indent="0" shrinkToFit="false"/>
      <protection locked="true" hidden="false"/>
    </xf>
    <xf numFmtId="164" fontId="7" fillId="4" borderId="10" xfId="0" applyFont="true" applyBorder="true" applyAlignment="true" applyProtection="false">
      <alignment horizontal="general" vertical="center" textRotation="0" wrapText="true" indent="0" shrinkToFit="false"/>
      <protection locked="true" hidden="false"/>
    </xf>
    <xf numFmtId="164" fontId="7" fillId="4" borderId="1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7" borderId="8" xfId="0" applyFont="true" applyBorder="true" applyAlignment="true" applyProtection="false">
      <alignment horizontal="general" vertical="bottom" textRotation="0" wrapText="false" indent="0" shrinkToFit="false"/>
      <protection locked="true" hidden="false"/>
    </xf>
    <xf numFmtId="164" fontId="13" fillId="3" borderId="2" xfId="0" applyFont="true" applyBorder="true" applyAlignment="true" applyProtection="false">
      <alignment horizontal="general" vertical="center" textRotation="0" wrapText="true" indent="0" shrinkToFit="false"/>
      <protection locked="true" hidden="false"/>
    </xf>
    <xf numFmtId="164" fontId="13" fillId="3" borderId="3" xfId="0" applyFont="true" applyBorder="true" applyAlignment="true" applyProtection="false">
      <alignment horizontal="general" vertical="center" textRotation="0" wrapText="true" indent="0" shrinkToFit="false"/>
      <protection locked="true" hidden="false"/>
    </xf>
    <xf numFmtId="164" fontId="13" fillId="3" borderId="4" xfId="0" applyFont="true" applyBorder="true" applyAlignment="true" applyProtection="false">
      <alignment horizontal="general" vertical="center" textRotation="0" wrapText="true" indent="0" shrinkToFit="false"/>
      <protection locked="true" hidden="false"/>
    </xf>
    <xf numFmtId="164" fontId="14" fillId="4" borderId="12" xfId="0" applyFont="true" applyBorder="true" applyAlignment="true" applyProtection="false">
      <alignment horizontal="general" vertical="center" textRotation="0" wrapText="true" indent="0" shrinkToFit="false"/>
      <protection locked="true" hidden="false"/>
    </xf>
    <xf numFmtId="165" fontId="14" fillId="4" borderId="13" xfId="0" applyFont="true" applyBorder="true" applyAlignment="true" applyProtection="false">
      <alignment horizontal="general" vertical="center" textRotation="0" wrapText="true" indent="0" shrinkToFit="false"/>
      <protection locked="true" hidden="false"/>
    </xf>
    <xf numFmtId="164" fontId="14" fillId="4" borderId="13" xfId="0" applyFont="true" applyBorder="true" applyAlignment="true" applyProtection="false">
      <alignment horizontal="general" vertical="center" textRotation="0" wrapText="true" indent="0" shrinkToFit="false"/>
      <protection locked="true" hidden="false"/>
    </xf>
    <xf numFmtId="166" fontId="14" fillId="4" borderId="13" xfId="0" applyFont="true" applyBorder="true" applyAlignment="true" applyProtection="false">
      <alignment horizontal="right" vertical="center" textRotation="0" wrapText="true" indent="0" shrinkToFit="false"/>
      <protection locked="true" hidden="false"/>
    </xf>
    <xf numFmtId="167" fontId="14" fillId="4" borderId="13" xfId="0" applyFont="true" applyBorder="true" applyAlignment="true" applyProtection="false">
      <alignment horizontal="right" vertical="center" textRotation="0" wrapText="true" indent="0" shrinkToFit="false"/>
      <protection locked="true" hidden="false"/>
    </xf>
    <xf numFmtId="168" fontId="14" fillId="4" borderId="13" xfId="0" applyFont="true" applyBorder="true" applyAlignment="true" applyProtection="false">
      <alignment horizontal="right" vertical="center" textRotation="0" wrapText="true" indent="0" shrinkToFit="false"/>
      <protection locked="true" hidden="false"/>
    </xf>
    <xf numFmtId="164" fontId="14" fillId="4" borderId="14" xfId="0" applyFont="true" applyBorder="true" applyAlignment="true" applyProtection="false">
      <alignment horizontal="general" vertical="center" textRotation="0" wrapText="true" indent="0" shrinkToFit="false"/>
      <protection locked="true" hidden="false"/>
    </xf>
    <xf numFmtId="164" fontId="14" fillId="4" borderId="15" xfId="0" applyFont="true" applyBorder="true" applyAlignment="true" applyProtection="false">
      <alignment horizontal="general" vertical="center" textRotation="0" wrapText="true" indent="0" shrinkToFit="false"/>
      <protection locked="true" hidden="false"/>
    </xf>
    <xf numFmtId="165" fontId="14" fillId="4" borderId="16" xfId="0" applyFont="true" applyBorder="true" applyAlignment="true" applyProtection="false">
      <alignment horizontal="general" vertical="center" textRotation="0" wrapText="true" indent="0" shrinkToFit="false"/>
      <protection locked="true" hidden="false"/>
    </xf>
    <xf numFmtId="164" fontId="14" fillId="4" borderId="16" xfId="0" applyFont="true" applyBorder="true" applyAlignment="true" applyProtection="false">
      <alignment horizontal="general" vertical="center" textRotation="0" wrapText="true" indent="0" shrinkToFit="false"/>
      <protection locked="true" hidden="false"/>
    </xf>
    <xf numFmtId="166" fontId="14" fillId="4" borderId="16" xfId="0" applyFont="true" applyBorder="true" applyAlignment="true" applyProtection="false">
      <alignment horizontal="right" vertical="center" textRotation="0" wrapText="true" indent="0" shrinkToFit="false"/>
      <protection locked="true" hidden="false"/>
    </xf>
    <xf numFmtId="167" fontId="14" fillId="4" borderId="16" xfId="0" applyFont="true" applyBorder="true" applyAlignment="true" applyProtection="false">
      <alignment horizontal="right" vertical="center" textRotation="0" wrapText="true" indent="0" shrinkToFit="false"/>
      <protection locked="true" hidden="false"/>
    </xf>
    <xf numFmtId="168" fontId="14" fillId="4" borderId="16" xfId="0" applyFont="true" applyBorder="true" applyAlignment="true" applyProtection="false">
      <alignment horizontal="right" vertical="center" textRotation="0" wrapText="true" indent="0" shrinkToFit="false"/>
      <protection locked="true" hidden="false"/>
    </xf>
    <xf numFmtId="164" fontId="14" fillId="4" borderId="17" xfId="0" applyFont="true" applyBorder="true" applyAlignment="true" applyProtection="false">
      <alignment horizontal="general" vertical="center" textRotation="0" wrapText="true" indent="0" shrinkToFit="false"/>
      <protection locked="true" hidden="false"/>
    </xf>
    <xf numFmtId="164" fontId="14" fillId="4" borderId="18" xfId="0" applyFont="true" applyBorder="true" applyAlignment="true" applyProtection="false">
      <alignment horizontal="general" vertical="center" textRotation="0" wrapText="true" indent="0" shrinkToFit="false"/>
      <protection locked="true" hidden="false"/>
    </xf>
    <xf numFmtId="165" fontId="14" fillId="4" borderId="19" xfId="0" applyFont="true" applyBorder="true" applyAlignment="true" applyProtection="false">
      <alignment horizontal="general" vertical="center" textRotation="0" wrapText="true" indent="0" shrinkToFit="false"/>
      <protection locked="true" hidden="false"/>
    </xf>
    <xf numFmtId="164" fontId="14" fillId="4" borderId="19" xfId="0" applyFont="true" applyBorder="true" applyAlignment="true" applyProtection="false">
      <alignment horizontal="general" vertical="center" textRotation="0" wrapText="true" indent="0" shrinkToFit="false"/>
      <protection locked="true" hidden="false"/>
    </xf>
    <xf numFmtId="166" fontId="14" fillId="4" borderId="19" xfId="0" applyFont="true" applyBorder="true" applyAlignment="true" applyProtection="false">
      <alignment horizontal="right" vertical="center" textRotation="0" wrapText="true" indent="0" shrinkToFit="false"/>
      <protection locked="true" hidden="false"/>
    </xf>
    <xf numFmtId="167" fontId="14" fillId="4" borderId="19" xfId="0" applyFont="true" applyBorder="true" applyAlignment="true" applyProtection="false">
      <alignment horizontal="right" vertical="center" textRotation="0" wrapText="true" indent="0" shrinkToFit="false"/>
      <protection locked="true" hidden="false"/>
    </xf>
    <xf numFmtId="168" fontId="14" fillId="4" borderId="19" xfId="0" applyFont="true" applyBorder="true" applyAlignment="true" applyProtection="false">
      <alignment horizontal="right" vertical="center" textRotation="0" wrapText="true" indent="0" shrinkToFit="false"/>
      <protection locked="true" hidden="false"/>
    </xf>
    <xf numFmtId="164" fontId="14" fillId="4" borderId="2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center"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center" vertical="bottom"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6F6D"/>
          <bgColor rgb="FF000000"/>
        </patternFill>
      </fill>
    </dxf>
    <dxf>
      <fill>
        <patternFill patternType="solid">
          <fgColor rgb="FFFBF8F1"/>
          <bgColor rgb="FF000000"/>
        </patternFill>
      </fill>
    </dxf>
    <dxf>
      <fill>
        <patternFill patternType="solid">
          <fgColor rgb="FF263238"/>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66A3C"/>
      <rgbColor rgb="FF800080"/>
      <rgbColor rgb="FF156082"/>
      <rgbColor rgb="FFB3B3B3"/>
      <rgbColor rgb="FF808080"/>
      <rgbColor rgb="FF9999FF"/>
      <rgbColor rgb="FF993366"/>
      <rgbColor rgb="FFFBF8F1"/>
      <rgbColor rgb="FFDDEBE8"/>
      <rgbColor rgb="FF660066"/>
      <rgbColor rgb="FFFF8080"/>
      <rgbColor rgb="FF0066CC"/>
      <rgbColor rgb="FFCAD1D4"/>
      <rgbColor rgb="FF000080"/>
      <rgbColor rgb="FFFF00FF"/>
      <rgbColor rgb="FFFFFF00"/>
      <rgbColor rgb="FF00FFFF"/>
      <rgbColor rgb="FF800080"/>
      <rgbColor rgb="FF800000"/>
      <rgbColor rgb="FF2F6F6D"/>
      <rgbColor rgb="FF0000FF"/>
      <rgbColor rgb="FF00CCFF"/>
      <rgbColor rgb="FFEEF0F1"/>
      <rgbColor rgb="FFE3E6E8"/>
      <rgbColor rgb="FFF3E7CC"/>
      <rgbColor rgb="FF99CCFF"/>
      <rgbColor rgb="FFFF99CC"/>
      <rgbColor rgb="FFCC99FF"/>
      <rgbColor rgb="FFD9D9D9"/>
      <rgbColor rgb="FF4472C4"/>
      <rgbColor rgb="FF33CCCC"/>
      <rgbColor rgb="FF99CC00"/>
      <rgbColor rgb="FFFFCC00"/>
      <rgbColor rgb="FFFF9900"/>
      <rgbColor rgb="FFFF6600"/>
      <rgbColor rgb="FF5F6B72"/>
      <rgbColor rgb="FFD2B477"/>
      <rgbColor rgb="FF24364B"/>
      <rgbColor rgb="FF339966"/>
      <rgbColor rgb="FF003300"/>
      <rgbColor rgb="FF333300"/>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Average net revenue per session by course (known-refund sessions only)</a:t>
            </a:r>
          </a:p>
        </c:rich>
      </c:tx>
      <c:overlay val="0"/>
      <c:spPr>
        <a:noFill/>
        <a:ln w="0">
          <a:noFill/>
        </a:ln>
      </c:spPr>
    </c:title>
    <c:autoTitleDeleted val="0"/>
    <c:plotArea>
      <c:barChart>
        <c:barDir val="bar"/>
        <c:grouping val="clustered"/>
        <c:varyColors val="0"/>
        <c:ser>
          <c:idx val="0"/>
          <c:order val="0"/>
          <c:tx>
            <c:strRef>
              <c:f>Analysis!B16</c:f>
              <c:strCache>
                <c:ptCount val="1"/>
                <c:pt idx="0">
                  <c:v>Avg net revenue / session (known)</c:v>
                </c:pt>
              </c:strCache>
            </c:strRef>
          </c:tx>
          <c:spPr>
            <a:solidFill>
              <a:srgbClr val="156082"/>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Analysis!$A$17:$A$20</c:f>
              <c:strCache>
                <c:ptCount val="4"/>
                <c:pt idx="0">
                  <c:v>Project Planning</c:v>
                </c:pt>
                <c:pt idx="1">
                  <c:v>AI at Work</c:v>
                </c:pt>
                <c:pt idx="2">
                  <c:v>Present with Confidence</c:v>
                </c:pt>
                <c:pt idx="3">
                  <c:v>Excel Essentials</c:v>
                </c:pt>
              </c:strCache>
            </c:strRef>
          </c:cat>
          <c:val>
            <c:numRef>
              <c:f>Analysis!$B$17:$B$20</c:f>
              <c:numCache>
                <c:formatCode>\$#,##0</c:formatCode>
                <c:ptCount val="4"/>
                <c:pt idx="0">
                  <c:v>1967.5</c:v>
                </c:pt>
                <c:pt idx="1">
                  <c:v>1827.14285714286</c:v>
                </c:pt>
                <c:pt idx="2">
                  <c:v>1538.57142857143</c:v>
                </c:pt>
                <c:pt idx="3">
                  <c:v>1382.14285714286</c:v>
                </c:pt>
              </c:numCache>
            </c:numRef>
          </c:val>
        </c:ser>
        <c:gapWidth val="150"/>
        <c:overlap val="0"/>
        <c:axId val="8036542"/>
        <c:axId val="54831696"/>
      </c:barChart>
      <c:catAx>
        <c:axId val="8036542"/>
        <c:scaling>
          <c:orientation val="minMax"/>
        </c:scaling>
        <c:delete val="0"/>
        <c:axPos val="b"/>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Average net revenue per session ($)</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54831696"/>
        <c:crosses val="autoZero"/>
        <c:auto val="1"/>
        <c:lblAlgn val="ctr"/>
        <c:lblOffset val="100"/>
        <c:noMultiLvlLbl val="0"/>
      </c:catAx>
      <c:valAx>
        <c:axId val="54831696"/>
        <c:scaling>
          <c:orientation val="maxMin"/>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80365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12</xdr:row>
      <xdr:rowOff>79920</xdr:rowOff>
    </xdr:from>
    <xdr:to>
      <xdr:col>8</xdr:col>
      <xdr:colOff>982080</xdr:colOff>
      <xdr:row>26</xdr:row>
      <xdr:rowOff>130680</xdr:rowOff>
    </xdr:to>
    <xdr:graphicFrame>
      <xdr:nvGraphicFramePr>
        <xdr:cNvPr id="0" name="Chart 1"/>
        <xdr:cNvGraphicFramePr/>
      </xdr:nvGraphicFramePr>
      <xdr:xfrm>
        <a:off x="3524400" y="318132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WorkshopSessionsTable" displayName="WorkshopSessionsTable" ref="A5:L34" headerRowCount="1" totalsRowCount="0" totalsRowShown="0">
  <tableColumns count="12">
    <tableColumn id="1" name="Session ID"/>
    <tableColumn id="2" name="Session date"/>
    <tableColumn id="3" name="Course"/>
    <tableColumn id="4" name="Delivery format"/>
    <tableColumn id="5" name="Location"/>
    <tableColumn id="6" name="Capacity"/>
    <tableColumn id="7" name="Bookings"/>
    <tableColumn id="8" name="No-shows"/>
    <tableColumn id="9" name="Fee per attendee"/>
    <tableColumn id="10" name="Refunds"/>
    <tableColumn id="11" name="Satisfaction (1-5)"/>
    <tableColumn id="12" name="Session not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1"/>
    <col collapsed="false" customWidth="true" hidden="false" outlineLevel="0" max="2" min="2" style="1" width="31"/>
    <col collapsed="false" customWidth="true" hidden="false" outlineLevel="0" max="3" min="3" style="1" width="35"/>
    <col collapsed="false" customWidth="true" hidden="false" outlineLevel="0" max="4" min="4" style="1" width="3"/>
    <col collapsed="false" customWidth="true" hidden="false" outlineLevel="0" max="8" min="5" style="1" width="18"/>
  </cols>
  <sheetData>
    <row r="1" customFormat="false" ht="15" hidden="false" customHeight="true" outlineLevel="0" collapsed="false">
      <c r="A1" s="2" t="s">
        <v>0</v>
      </c>
      <c r="B1" s="2"/>
      <c r="C1" s="2"/>
      <c r="D1" s="2"/>
      <c r="E1" s="2"/>
      <c r="F1" s="2"/>
      <c r="G1" s="2"/>
      <c r="H1" s="2"/>
    </row>
    <row r="2" customFormat="false" ht="15" hidden="false" customHeight="true" outlineLevel="0" collapsed="false">
      <c r="A2" s="2"/>
      <c r="B2" s="2"/>
      <c r="C2" s="2"/>
      <c r="D2" s="2"/>
      <c r="E2" s="2"/>
      <c r="F2" s="2"/>
      <c r="G2" s="2"/>
      <c r="H2" s="2"/>
    </row>
    <row r="3" customFormat="false" ht="9.75" hidden="false" customHeight="true" outlineLevel="0" collapsed="false">
      <c r="A3" s="3"/>
      <c r="B3" s="3"/>
      <c r="C3" s="3"/>
      <c r="D3" s="3"/>
      <c r="E3" s="3"/>
      <c r="F3" s="3"/>
      <c r="G3" s="3"/>
      <c r="H3" s="3"/>
    </row>
    <row r="4" customFormat="false" ht="15" hidden="false" customHeight="true" outlineLevel="0" collapsed="false">
      <c r="A4" s="4" t="s">
        <v>1</v>
      </c>
      <c r="B4" s="4"/>
      <c r="C4" s="4"/>
      <c r="D4" s="4"/>
      <c r="E4" s="4"/>
      <c r="F4" s="4"/>
      <c r="G4" s="4"/>
      <c r="H4" s="4"/>
    </row>
    <row r="5" customFormat="false" ht="28.5" hidden="false" customHeight="true" outlineLevel="0" collapsed="false">
      <c r="A5" s="5" t="s">
        <v>2</v>
      </c>
      <c r="B5" s="5"/>
      <c r="C5" s="5"/>
      <c r="D5" s="5"/>
      <c r="E5" s="5"/>
      <c r="F5" s="5"/>
      <c r="G5" s="5"/>
      <c r="H5" s="5"/>
    </row>
    <row r="6" customFormat="false" ht="28.5" hidden="false" customHeight="true" outlineLevel="0" collapsed="false">
      <c r="A6" s="5"/>
      <c r="B6" s="5"/>
      <c r="C6" s="5"/>
      <c r="D6" s="5"/>
      <c r="E6" s="5"/>
      <c r="F6" s="5"/>
      <c r="G6" s="5"/>
      <c r="H6" s="5"/>
    </row>
    <row r="7" customFormat="false" ht="15" hidden="false" customHeight="true" outlineLevel="0" collapsed="false">
      <c r="A7" s="3"/>
      <c r="B7" s="3"/>
      <c r="C7" s="3"/>
      <c r="D7" s="3"/>
      <c r="E7" s="3"/>
      <c r="F7" s="3"/>
      <c r="G7" s="3"/>
      <c r="H7" s="3"/>
    </row>
    <row r="8" customFormat="false" ht="15" hidden="false" customHeight="true" outlineLevel="0" collapsed="false">
      <c r="A8" s="4" t="s">
        <v>3</v>
      </c>
      <c r="B8" s="4"/>
      <c r="C8" s="4"/>
      <c r="D8" s="4"/>
      <c r="E8" s="4"/>
      <c r="F8" s="4"/>
      <c r="G8" s="4"/>
      <c r="H8" s="4"/>
    </row>
    <row r="9" customFormat="false" ht="28.5" hidden="false" customHeight="true" outlineLevel="0" collapsed="false">
      <c r="A9" s="6" t="s">
        <v>4</v>
      </c>
      <c r="B9" s="6"/>
      <c r="C9" s="6"/>
      <c r="D9" s="6"/>
      <c r="E9" s="6"/>
      <c r="F9" s="6"/>
      <c r="G9" s="6"/>
      <c r="H9" s="6"/>
    </row>
    <row r="10" customFormat="false" ht="28.5" hidden="false" customHeight="true" outlineLevel="0" collapsed="false">
      <c r="A10" s="6"/>
      <c r="B10" s="6"/>
      <c r="C10" s="6"/>
      <c r="D10" s="6"/>
      <c r="E10" s="6"/>
      <c r="F10" s="6"/>
      <c r="G10" s="6"/>
      <c r="H10" s="6"/>
    </row>
    <row r="11" customFormat="false" ht="15" hidden="false" customHeight="true" outlineLevel="0" collapsed="false">
      <c r="A11" s="3"/>
      <c r="B11" s="3"/>
      <c r="C11" s="3"/>
      <c r="D11" s="3"/>
      <c r="E11" s="3"/>
      <c r="F11" s="3"/>
      <c r="G11" s="3"/>
      <c r="H11" s="3"/>
    </row>
    <row r="12" customFormat="false" ht="15" hidden="false" customHeight="true" outlineLevel="0" collapsed="false">
      <c r="A12" s="7" t="s">
        <v>5</v>
      </c>
      <c r="B12" s="8" t="s">
        <v>6</v>
      </c>
      <c r="C12" s="9" t="s">
        <v>7</v>
      </c>
      <c r="D12" s="3"/>
      <c r="E12" s="10" t="s">
        <v>8</v>
      </c>
      <c r="F12" s="10"/>
      <c r="G12" s="10"/>
      <c r="H12" s="10"/>
    </row>
    <row r="13" customFormat="false" ht="28.5" hidden="false" customHeight="true" outlineLevel="0" collapsed="false">
      <c r="A13" s="11" t="s">
        <v>9</v>
      </c>
      <c r="B13" s="12" t="s">
        <v>10</v>
      </c>
      <c r="C13" s="13" t="s">
        <v>11</v>
      </c>
      <c r="D13" s="3"/>
      <c r="E13" s="14" t="s">
        <v>12</v>
      </c>
      <c r="F13" s="14"/>
      <c r="G13" s="14"/>
      <c r="H13" s="14"/>
    </row>
    <row r="14" customFormat="false" ht="28.5" hidden="false" customHeight="true" outlineLevel="0" collapsed="false">
      <c r="A14" s="15" t="s">
        <v>13</v>
      </c>
      <c r="B14" s="16" t="s">
        <v>14</v>
      </c>
      <c r="C14" s="17" t="s">
        <v>15</v>
      </c>
      <c r="D14" s="3"/>
      <c r="E14" s="14"/>
      <c r="F14" s="14"/>
      <c r="G14" s="14"/>
      <c r="H14" s="14"/>
    </row>
    <row r="15" customFormat="false" ht="28.5" hidden="false" customHeight="true" outlineLevel="0" collapsed="false">
      <c r="A15" s="15" t="s">
        <v>16</v>
      </c>
      <c r="B15" s="16" t="s">
        <v>17</v>
      </c>
      <c r="C15" s="17" t="s">
        <v>18</v>
      </c>
      <c r="D15" s="3"/>
      <c r="E15" s="14"/>
      <c r="F15" s="14"/>
      <c r="G15" s="14"/>
      <c r="H15" s="14"/>
    </row>
    <row r="16" customFormat="false" ht="28.5" hidden="false" customHeight="true" outlineLevel="0" collapsed="false">
      <c r="A16" s="15" t="s">
        <v>19</v>
      </c>
      <c r="B16" s="16" t="s">
        <v>20</v>
      </c>
      <c r="C16" s="17" t="s">
        <v>21</v>
      </c>
      <c r="D16" s="3"/>
      <c r="E16" s="14"/>
      <c r="F16" s="14"/>
      <c r="G16" s="14"/>
      <c r="H16" s="14"/>
    </row>
    <row r="17" customFormat="false" ht="15" hidden="false" customHeight="true" outlineLevel="0" collapsed="false">
      <c r="A17" s="3"/>
      <c r="B17" s="3"/>
      <c r="C17" s="3"/>
      <c r="D17" s="3"/>
      <c r="E17" s="3"/>
      <c r="F17" s="3"/>
      <c r="G17" s="3"/>
      <c r="H17" s="3"/>
    </row>
    <row r="18" customFormat="false" ht="15" hidden="false" customHeight="true" outlineLevel="0" collapsed="false">
      <c r="A18" s="18" t="s">
        <v>22</v>
      </c>
      <c r="B18" s="18"/>
      <c r="C18" s="18"/>
      <c r="D18" s="18"/>
      <c r="E18" s="18"/>
      <c r="F18" s="18"/>
      <c r="G18" s="18"/>
      <c r="H18" s="18"/>
    </row>
  </sheetData>
  <mergeCells count="8">
    <mergeCell ref="A1:H2"/>
    <mergeCell ref="A4:H4"/>
    <mergeCell ref="A5:H6"/>
    <mergeCell ref="A8:H8"/>
    <mergeCell ref="A9:H10"/>
    <mergeCell ref="E12:H12"/>
    <mergeCell ref="E13:H16"/>
    <mergeCell ref="A18:H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5"/>
    <col collapsed="false" customWidth="true" hidden="false" outlineLevel="0" max="3" min="3" style="1" width="24"/>
    <col collapsed="false" customWidth="true" hidden="false" outlineLevel="0" max="4" min="4" style="1" width="18"/>
    <col collapsed="false" customWidth="true" hidden="false" outlineLevel="0" max="5" min="5" style="1" width="14"/>
    <col collapsed="false" customWidth="true" hidden="false" outlineLevel="0" max="8" min="6" style="1" width="11"/>
    <col collapsed="false" customWidth="true" hidden="false" outlineLevel="0" max="9" min="9" style="1" width="18"/>
    <col collapsed="false" customWidth="true" hidden="false" outlineLevel="0" max="10" min="10" style="1" width="12"/>
    <col collapsed="false" customWidth="true" hidden="false" outlineLevel="0" max="11" min="11" style="1" width="18"/>
    <col collapsed="false" customWidth="true" hidden="false" outlineLevel="0" max="12" min="12" style="1" width="38"/>
  </cols>
  <sheetData>
    <row r="1" customFormat="false" ht="27" hidden="false" customHeight="true" outlineLevel="0" collapsed="false">
      <c r="A1" s="19" t="s">
        <v>23</v>
      </c>
      <c r="B1" s="19"/>
      <c r="C1" s="19"/>
      <c r="D1" s="19"/>
      <c r="E1" s="19"/>
      <c r="F1" s="19"/>
      <c r="G1" s="19"/>
      <c r="H1" s="19"/>
      <c r="I1" s="19"/>
      <c r="J1" s="19"/>
      <c r="K1" s="19"/>
      <c r="L1" s="19"/>
    </row>
    <row r="2" customFormat="false" ht="27" hidden="false" customHeight="true" outlineLevel="0" collapsed="false">
      <c r="A2" s="19"/>
      <c r="B2" s="19"/>
      <c r="C2" s="19"/>
      <c r="D2" s="19"/>
      <c r="E2" s="19"/>
      <c r="F2" s="19"/>
      <c r="G2" s="19"/>
      <c r="H2" s="19"/>
      <c r="I2" s="19"/>
      <c r="J2" s="19"/>
      <c r="K2" s="19"/>
      <c r="L2" s="19"/>
    </row>
    <row r="3" customFormat="false" ht="25.5" hidden="false" customHeight="true" outlineLevel="0" collapsed="false">
      <c r="A3" s="20" t="s">
        <v>24</v>
      </c>
      <c r="B3" s="20"/>
      <c r="C3" s="20"/>
      <c r="D3" s="20"/>
      <c r="E3" s="20"/>
      <c r="F3" s="20"/>
      <c r="G3" s="20"/>
      <c r="H3" s="20"/>
      <c r="I3" s="20"/>
      <c r="J3" s="20"/>
      <c r="K3" s="20"/>
      <c r="L3" s="20"/>
    </row>
    <row r="4" customFormat="false" ht="7.5" hidden="false" customHeight="true" outlineLevel="0" collapsed="false"/>
    <row r="5" customFormat="false" ht="37.5" hidden="false" customHeight="true" outlineLevel="0" collapsed="false">
      <c r="A5" s="21" t="s">
        <v>25</v>
      </c>
      <c r="B5" s="22" t="s">
        <v>26</v>
      </c>
      <c r="C5" s="22" t="s">
        <v>27</v>
      </c>
      <c r="D5" s="22" t="s">
        <v>28</v>
      </c>
      <c r="E5" s="22" t="s">
        <v>29</v>
      </c>
      <c r="F5" s="22" t="s">
        <v>30</v>
      </c>
      <c r="G5" s="22" t="s">
        <v>31</v>
      </c>
      <c r="H5" s="22" t="s">
        <v>32</v>
      </c>
      <c r="I5" s="22" t="s">
        <v>33</v>
      </c>
      <c r="J5" s="22" t="s">
        <v>34</v>
      </c>
      <c r="K5" s="22" t="s">
        <v>35</v>
      </c>
      <c r="L5" s="23" t="s">
        <v>36</v>
      </c>
    </row>
    <row r="6" customFormat="false" ht="27" hidden="false" customHeight="true" outlineLevel="0" collapsed="false">
      <c r="A6" s="24" t="s">
        <v>37</v>
      </c>
      <c r="B6" s="25" t="n">
        <v>46115.5</v>
      </c>
      <c r="C6" s="26" t="s">
        <v>38</v>
      </c>
      <c r="D6" s="26" t="s">
        <v>39</v>
      </c>
      <c r="E6" s="26" t="s">
        <v>40</v>
      </c>
      <c r="F6" s="27" t="n">
        <v>24</v>
      </c>
      <c r="G6" s="27" t="n">
        <v>22</v>
      </c>
      <c r="H6" s="27" t="n">
        <v>2</v>
      </c>
      <c r="I6" s="28" t="n">
        <v>85</v>
      </c>
      <c r="J6" s="28" t="n">
        <v>85</v>
      </c>
      <c r="K6" s="29" t="n">
        <v>4.6</v>
      </c>
      <c r="L6" s="30" t="s">
        <v>41</v>
      </c>
    </row>
    <row r="7" customFormat="false" ht="27" hidden="false" customHeight="true" outlineLevel="0" collapsed="false">
      <c r="A7" s="31" t="s">
        <v>42</v>
      </c>
      <c r="B7" s="32" t="n">
        <v>46119.5</v>
      </c>
      <c r="C7" s="33" t="s">
        <v>43</v>
      </c>
      <c r="D7" s="33" t="s">
        <v>44</v>
      </c>
      <c r="E7" s="33" t="s">
        <v>45</v>
      </c>
      <c r="F7" s="34" t="n">
        <v>18</v>
      </c>
      <c r="G7" s="34" t="n">
        <v>16</v>
      </c>
      <c r="H7" s="34" t="n">
        <v>1</v>
      </c>
      <c r="I7" s="35" t="n">
        <v>75</v>
      </c>
      <c r="J7" s="35" t="n">
        <v>0</v>
      </c>
      <c r="K7" s="36" t="n">
        <v>4.4</v>
      </c>
      <c r="L7" s="37"/>
    </row>
    <row r="8" customFormat="false" ht="27" hidden="false" customHeight="true" outlineLevel="0" collapsed="false">
      <c r="A8" s="31" t="s">
        <v>46</v>
      </c>
      <c r="B8" s="32" t="n">
        <v>46122.5</v>
      </c>
      <c r="C8" s="33" t="s">
        <v>47</v>
      </c>
      <c r="D8" s="33" t="s">
        <v>39</v>
      </c>
      <c r="E8" s="33" t="s">
        <v>40</v>
      </c>
      <c r="F8" s="34" t="n">
        <v>24</v>
      </c>
      <c r="G8" s="34" t="n">
        <v>18</v>
      </c>
      <c r="H8" s="34" t="n">
        <v>4</v>
      </c>
      <c r="I8" s="35" t="n">
        <v>95</v>
      </c>
      <c r="J8" s="35" t="n">
        <v>190</v>
      </c>
      <c r="K8" s="36" t="n">
        <v>4.1</v>
      </c>
      <c r="L8" s="37" t="s">
        <v>48</v>
      </c>
    </row>
    <row r="9" customFormat="false" ht="27" hidden="false" customHeight="true" outlineLevel="0" collapsed="false">
      <c r="A9" s="31" t="s">
        <v>49</v>
      </c>
      <c r="B9" s="32" t="n">
        <v>46126.5</v>
      </c>
      <c r="C9" s="33" t="s">
        <v>50</v>
      </c>
      <c r="D9" s="33" t="s">
        <v>44</v>
      </c>
      <c r="E9" s="33" t="s">
        <v>51</v>
      </c>
      <c r="F9" s="34" t="n">
        <v>16</v>
      </c>
      <c r="G9" s="34" t="n">
        <v>13</v>
      </c>
      <c r="H9" s="34" t="n">
        <v>1</v>
      </c>
      <c r="I9" s="35" t="n">
        <v>110</v>
      </c>
      <c r="J9" s="35" t="n">
        <v>0</v>
      </c>
      <c r="K9" s="36" t="n">
        <v>4.8</v>
      </c>
      <c r="L9" s="37" t="s">
        <v>52</v>
      </c>
    </row>
    <row r="10" customFormat="false" ht="27" hidden="false" customHeight="true" outlineLevel="0" collapsed="false">
      <c r="A10" s="31" t="s">
        <v>53</v>
      </c>
      <c r="B10" s="32" t="n">
        <v>46130.5</v>
      </c>
      <c r="C10" s="33" t="s">
        <v>54</v>
      </c>
      <c r="D10" s="33" t="s">
        <v>55</v>
      </c>
      <c r="E10" s="33" t="s">
        <v>56</v>
      </c>
      <c r="F10" s="34" t="n">
        <v>20</v>
      </c>
      <c r="G10" s="34" t="n">
        <v>19</v>
      </c>
      <c r="H10" s="34" t="n">
        <v>2</v>
      </c>
      <c r="I10" s="35" t="n">
        <v>95</v>
      </c>
      <c r="J10" s="35" t="n">
        <v>95</v>
      </c>
      <c r="K10" s="36" t="n">
        <v>4.7</v>
      </c>
      <c r="L10" s="37"/>
    </row>
    <row r="11" customFormat="false" ht="27" hidden="false" customHeight="true" outlineLevel="0" collapsed="false">
      <c r="A11" s="31" t="s">
        <v>57</v>
      </c>
      <c r="B11" s="32" t="n">
        <v>46134.5</v>
      </c>
      <c r="C11" s="33" t="s">
        <v>43</v>
      </c>
      <c r="D11" s="33" t="s">
        <v>39</v>
      </c>
      <c r="E11" s="33" t="s">
        <v>58</v>
      </c>
      <c r="F11" s="34" t="n">
        <v>30</v>
      </c>
      <c r="G11" s="34" t="n">
        <v>25</v>
      </c>
      <c r="H11" s="34" t="n">
        <v>5</v>
      </c>
      <c r="I11" s="35" t="n">
        <v>65</v>
      </c>
      <c r="J11" s="35" t="n">
        <v>65</v>
      </c>
      <c r="K11" s="36" t="n">
        <v>4</v>
      </c>
      <c r="L11" s="37" t="s">
        <v>59</v>
      </c>
    </row>
    <row r="12" customFormat="false" ht="27" hidden="false" customHeight="true" outlineLevel="0" collapsed="false">
      <c r="A12" s="31" t="s">
        <v>60</v>
      </c>
      <c r="B12" s="32" t="n">
        <v>46137.5</v>
      </c>
      <c r="C12" s="33" t="s">
        <v>47</v>
      </c>
      <c r="D12" s="33" t="s">
        <v>44</v>
      </c>
      <c r="E12" s="33" t="s">
        <v>45</v>
      </c>
      <c r="F12" s="34" t="n">
        <v>18</v>
      </c>
      <c r="G12" s="34" t="n">
        <v>17</v>
      </c>
      <c r="H12" s="34" t="n">
        <v>1</v>
      </c>
      <c r="I12" s="35" t="n">
        <v>120</v>
      </c>
      <c r="J12" s="35"/>
      <c r="K12" s="36" t="n">
        <v>4.5</v>
      </c>
      <c r="L12" s="37" t="s">
        <v>61</v>
      </c>
    </row>
    <row r="13" customFormat="false" ht="27" hidden="false" customHeight="true" outlineLevel="0" collapsed="false">
      <c r="A13" s="31" t="s">
        <v>62</v>
      </c>
      <c r="B13" s="32" t="n">
        <v>46141.5</v>
      </c>
      <c r="C13" s="33" t="s">
        <v>50</v>
      </c>
      <c r="D13" s="33" t="s">
        <v>39</v>
      </c>
      <c r="E13" s="33" t="s">
        <v>40</v>
      </c>
      <c r="F13" s="34" t="n">
        <v>24</v>
      </c>
      <c r="G13" s="34" t="n">
        <v>15</v>
      </c>
      <c r="H13" s="34" t="n">
        <v>3</v>
      </c>
      <c r="I13" s="35" t="n">
        <v>90</v>
      </c>
      <c r="J13" s="35" t="n">
        <v>0</v>
      </c>
      <c r="K13" s="36" t="n">
        <v>4.2</v>
      </c>
      <c r="L13" s="37"/>
    </row>
    <row r="14" customFormat="false" ht="27" hidden="false" customHeight="true" outlineLevel="0" collapsed="false">
      <c r="A14" s="31" t="s">
        <v>63</v>
      </c>
      <c r="B14" s="32" t="n">
        <v>46144.5</v>
      </c>
      <c r="C14" s="33" t="s">
        <v>38</v>
      </c>
      <c r="D14" s="33" t="s">
        <v>39</v>
      </c>
      <c r="E14" s="33" t="s">
        <v>40</v>
      </c>
      <c r="F14" s="34" t="n">
        <v>24</v>
      </c>
      <c r="G14" s="34" t="n">
        <v>24</v>
      </c>
      <c r="H14" s="34" t="n">
        <v>1</v>
      </c>
      <c r="I14" s="35" t="n">
        <v>85</v>
      </c>
      <c r="J14" s="35" t="n">
        <v>0</v>
      </c>
      <c r="K14" s="36" t="n">
        <v>4.8</v>
      </c>
      <c r="L14" s="37" t="s">
        <v>64</v>
      </c>
    </row>
    <row r="15" customFormat="false" ht="27" hidden="false" customHeight="true" outlineLevel="0" collapsed="false">
      <c r="A15" s="31" t="s">
        <v>65</v>
      </c>
      <c r="B15" s="32" t="n">
        <v>46148.5</v>
      </c>
      <c r="C15" s="33" t="s">
        <v>66</v>
      </c>
      <c r="D15" s="33" t="s">
        <v>44</v>
      </c>
      <c r="E15" s="33" t="s">
        <v>51</v>
      </c>
      <c r="F15" s="34" t="n">
        <v>18</v>
      </c>
      <c r="G15" s="34" t="n">
        <v>15</v>
      </c>
      <c r="H15" s="34" t="n">
        <v>2</v>
      </c>
      <c r="I15" s="35" t="n">
        <v>80</v>
      </c>
      <c r="J15" s="35" t="n">
        <v>80</v>
      </c>
      <c r="K15" s="36" t="n">
        <v>4.3</v>
      </c>
      <c r="L15" s="37"/>
    </row>
    <row r="16" customFormat="false" ht="27" hidden="false" customHeight="true" outlineLevel="0" collapsed="false">
      <c r="A16" s="31" t="s">
        <v>67</v>
      </c>
      <c r="B16" s="32" t="n">
        <v>46151.5</v>
      </c>
      <c r="C16" s="33" t="s">
        <v>47</v>
      </c>
      <c r="D16" s="33" t="s">
        <v>39</v>
      </c>
      <c r="E16" s="33" t="s">
        <v>40</v>
      </c>
      <c r="F16" s="34" t="n">
        <v>24</v>
      </c>
      <c r="G16" s="34" t="n">
        <v>20</v>
      </c>
      <c r="H16" s="34" t="n">
        <v>2</v>
      </c>
      <c r="I16" s="35" t="n">
        <v>95</v>
      </c>
      <c r="J16" s="35" t="n">
        <v>0</v>
      </c>
      <c r="K16" s="36"/>
      <c r="L16" s="37" t="s">
        <v>68</v>
      </c>
    </row>
    <row r="17" customFormat="false" ht="27" hidden="false" customHeight="true" outlineLevel="0" collapsed="false">
      <c r="A17" s="31" t="s">
        <v>69</v>
      </c>
      <c r="B17" s="32" t="n">
        <v>46155.5</v>
      </c>
      <c r="C17" s="33" t="s">
        <v>50</v>
      </c>
      <c r="D17" s="33" t="s">
        <v>44</v>
      </c>
      <c r="E17" s="33" t="s">
        <v>45</v>
      </c>
      <c r="F17" s="34" t="n">
        <v>16</v>
      </c>
      <c r="G17" s="34" t="n">
        <v>15</v>
      </c>
      <c r="H17" s="34" t="n">
        <v>0</v>
      </c>
      <c r="I17" s="35" t="n">
        <v>110</v>
      </c>
      <c r="J17" s="35" t="n">
        <v>0</v>
      </c>
      <c r="K17" s="36" t="n">
        <v>4.9</v>
      </c>
      <c r="L17" s="37" t="s">
        <v>70</v>
      </c>
    </row>
    <row r="18" customFormat="false" ht="27" hidden="false" customHeight="true" outlineLevel="0" collapsed="false">
      <c r="A18" s="31" t="s">
        <v>71</v>
      </c>
      <c r="B18" s="32" t="n">
        <v>46158.5</v>
      </c>
      <c r="C18" s="33" t="s">
        <v>38</v>
      </c>
      <c r="D18" s="33" t="s">
        <v>44</v>
      </c>
      <c r="E18" s="33" t="s">
        <v>56</v>
      </c>
      <c r="F18" s="34" t="n">
        <v>20</v>
      </c>
      <c r="G18" s="34" t="n">
        <v>18</v>
      </c>
      <c r="H18" s="34" t="n">
        <v>1</v>
      </c>
      <c r="I18" s="35" t="n">
        <v>95</v>
      </c>
      <c r="J18" s="35" t="n">
        <v>0</v>
      </c>
      <c r="K18" s="36" t="n">
        <v>4.6</v>
      </c>
      <c r="L18" s="37"/>
    </row>
    <row r="19" customFormat="false" ht="27" hidden="false" customHeight="true" outlineLevel="0" collapsed="false">
      <c r="A19" s="31" t="s">
        <v>72</v>
      </c>
      <c r="B19" s="32" t="n">
        <v>46162.5</v>
      </c>
      <c r="C19" s="33" t="s">
        <v>43</v>
      </c>
      <c r="D19" s="33" t="s">
        <v>39</v>
      </c>
      <c r="E19" s="33" t="s">
        <v>40</v>
      </c>
      <c r="F19" s="34" t="n">
        <v>30</v>
      </c>
      <c r="G19" s="34" t="n">
        <v>27</v>
      </c>
      <c r="H19" s="34" t="n">
        <v>6</v>
      </c>
      <c r="I19" s="35" t="n">
        <v>65</v>
      </c>
      <c r="J19" s="35" t="n">
        <v>130</v>
      </c>
      <c r="K19" s="36" t="n">
        <v>3.9</v>
      </c>
      <c r="L19" s="37" t="s">
        <v>73</v>
      </c>
    </row>
    <row r="20" customFormat="false" ht="27" hidden="false" customHeight="true" outlineLevel="0" collapsed="false">
      <c r="A20" s="31" t="s">
        <v>72</v>
      </c>
      <c r="B20" s="32" t="n">
        <v>46162.5</v>
      </c>
      <c r="C20" s="33" t="s">
        <v>43</v>
      </c>
      <c r="D20" s="33" t="s">
        <v>39</v>
      </c>
      <c r="E20" s="33" t="s">
        <v>40</v>
      </c>
      <c r="F20" s="34" t="n">
        <v>30</v>
      </c>
      <c r="G20" s="34" t="n">
        <v>27</v>
      </c>
      <c r="H20" s="34" t="n">
        <v>6</v>
      </c>
      <c r="I20" s="35" t="n">
        <v>65</v>
      </c>
      <c r="J20" s="35" t="n">
        <v>130</v>
      </c>
      <c r="K20" s="36" t="n">
        <v>3.9</v>
      </c>
      <c r="L20" s="37" t="s">
        <v>73</v>
      </c>
    </row>
    <row r="21" customFormat="false" ht="27" hidden="false" customHeight="true" outlineLevel="0" collapsed="false">
      <c r="A21" s="31" t="s">
        <v>74</v>
      </c>
      <c r="B21" s="32" t="n">
        <v>46165.5</v>
      </c>
      <c r="C21" s="33" t="s">
        <v>75</v>
      </c>
      <c r="D21" s="33" t="s">
        <v>44</v>
      </c>
      <c r="E21" s="33" t="s">
        <v>51</v>
      </c>
      <c r="F21" s="34" t="n">
        <v>18</v>
      </c>
      <c r="G21" s="34" t="n">
        <v>16</v>
      </c>
      <c r="H21" s="34" t="n">
        <v>1</v>
      </c>
      <c r="I21" s="35" t="n">
        <v>120</v>
      </c>
      <c r="J21" s="35" t="n">
        <v>0</v>
      </c>
      <c r="K21" s="36" t="n">
        <v>4.6</v>
      </c>
      <c r="L21" s="37"/>
    </row>
    <row r="22" customFormat="false" ht="27" hidden="false" customHeight="true" outlineLevel="0" collapsed="false">
      <c r="A22" s="31" t="s">
        <v>76</v>
      </c>
      <c r="B22" s="32" t="n">
        <v>46170.5</v>
      </c>
      <c r="C22" s="33" t="s">
        <v>50</v>
      </c>
      <c r="D22" s="33" t="s">
        <v>39</v>
      </c>
      <c r="E22" s="33" t="s">
        <v>40</v>
      </c>
      <c r="F22" s="34" t="n">
        <v>24</v>
      </c>
      <c r="G22" s="34" t="n">
        <v>17</v>
      </c>
      <c r="H22" s="34" t="n">
        <v>2</v>
      </c>
      <c r="I22" s="35" t="n">
        <v>90</v>
      </c>
      <c r="J22" s="35" t="n">
        <v>90</v>
      </c>
      <c r="K22" s="36" t="n">
        <v>4.3</v>
      </c>
      <c r="L22" s="37"/>
    </row>
    <row r="23" customFormat="false" ht="27" hidden="false" customHeight="true" outlineLevel="0" collapsed="false">
      <c r="A23" s="31" t="s">
        <v>77</v>
      </c>
      <c r="B23" s="32" t="n">
        <v>46175.5</v>
      </c>
      <c r="C23" s="33" t="s">
        <v>38</v>
      </c>
      <c r="D23" s="33" t="s">
        <v>39</v>
      </c>
      <c r="E23" s="33" t="s">
        <v>40</v>
      </c>
      <c r="F23" s="34" t="n">
        <v>24</v>
      </c>
      <c r="G23" s="34" t="n">
        <v>23</v>
      </c>
      <c r="H23" s="34" t="n">
        <v>1</v>
      </c>
      <c r="I23" s="35" t="n">
        <v>85</v>
      </c>
      <c r="J23" s="35" t="n">
        <v>0</v>
      </c>
      <c r="K23" s="36" t="n">
        <v>4.7</v>
      </c>
      <c r="L23" s="37"/>
    </row>
    <row r="24" customFormat="false" ht="27" hidden="false" customHeight="true" outlineLevel="0" collapsed="false">
      <c r="A24" s="31" t="s">
        <v>78</v>
      </c>
      <c r="B24" s="32" t="n">
        <v>46178.5</v>
      </c>
      <c r="C24" s="33" t="s">
        <v>43</v>
      </c>
      <c r="D24" s="33" t="s">
        <v>44</v>
      </c>
      <c r="E24" s="33" t="s">
        <v>45</v>
      </c>
      <c r="F24" s="34" t="n">
        <v>18</v>
      </c>
      <c r="G24" s="34" t="n">
        <v>17</v>
      </c>
      <c r="H24" s="34" t="n">
        <v>0</v>
      </c>
      <c r="I24" s="35" t="n">
        <v>80</v>
      </c>
      <c r="J24" s="35" t="n">
        <v>0</v>
      </c>
      <c r="K24" s="36" t="n">
        <v>4.5</v>
      </c>
      <c r="L24" s="37"/>
    </row>
    <row r="25" customFormat="false" ht="27" hidden="false" customHeight="true" outlineLevel="0" collapsed="false">
      <c r="A25" s="31" t="s">
        <v>79</v>
      </c>
      <c r="B25" s="32" t="n">
        <v>46182.5</v>
      </c>
      <c r="C25" s="33" t="s">
        <v>47</v>
      </c>
      <c r="D25" s="33" t="s">
        <v>44</v>
      </c>
      <c r="E25" s="33" t="s">
        <v>56</v>
      </c>
      <c r="F25" s="34" t="n">
        <v>20</v>
      </c>
      <c r="G25" s="34" t="n">
        <v>23</v>
      </c>
      <c r="H25" s="34" t="n">
        <v>2</v>
      </c>
      <c r="I25" s="35" t="n">
        <v>120</v>
      </c>
      <c r="J25" s="35" t="n">
        <v>0</v>
      </c>
      <c r="K25" s="36" t="n">
        <v>4.4</v>
      </c>
      <c r="L25" s="37" t="s">
        <v>80</v>
      </c>
    </row>
    <row r="26" customFormat="false" ht="27" hidden="false" customHeight="true" outlineLevel="0" collapsed="false">
      <c r="A26" s="31" t="s">
        <v>81</v>
      </c>
      <c r="B26" s="32" t="s">
        <v>82</v>
      </c>
      <c r="C26" s="33" t="s">
        <v>50</v>
      </c>
      <c r="D26" s="33" t="s">
        <v>83</v>
      </c>
      <c r="E26" s="33" t="s">
        <v>40</v>
      </c>
      <c r="F26" s="34" t="n">
        <v>24</v>
      </c>
      <c r="G26" s="34" t="n">
        <v>19</v>
      </c>
      <c r="H26" s="34" t="n">
        <v>3</v>
      </c>
      <c r="I26" s="35" t="n">
        <v>90</v>
      </c>
      <c r="J26" s="35" t="n">
        <v>0</v>
      </c>
      <c r="K26" s="36" t="n">
        <v>4.4</v>
      </c>
      <c r="L26" s="37" t="s">
        <v>84</v>
      </c>
    </row>
    <row r="27" customFormat="false" ht="27" hidden="false" customHeight="true" outlineLevel="0" collapsed="false">
      <c r="A27" s="31" t="s">
        <v>85</v>
      </c>
      <c r="B27" s="32" t="n">
        <v>46189.5</v>
      </c>
      <c r="C27" s="33" t="s">
        <v>38</v>
      </c>
      <c r="D27" s="33" t="s">
        <v>44</v>
      </c>
      <c r="E27" s="33" t="s">
        <v>51</v>
      </c>
      <c r="F27" s="34" t="n">
        <v>20</v>
      </c>
      <c r="G27" s="34" t="n">
        <v>20</v>
      </c>
      <c r="H27" s="34" t="n">
        <v>1</v>
      </c>
      <c r="I27" s="35" t="n">
        <v>95</v>
      </c>
      <c r="J27" s="35" t="n">
        <v>95</v>
      </c>
      <c r="K27" s="36" t="n">
        <v>4.8</v>
      </c>
      <c r="L27" s="37"/>
    </row>
    <row r="28" customFormat="false" ht="27" hidden="false" customHeight="true" outlineLevel="0" collapsed="false">
      <c r="A28" s="31" t="s">
        <v>86</v>
      </c>
      <c r="B28" s="32" t="n">
        <v>46191.5</v>
      </c>
      <c r="C28" s="33" t="s">
        <v>43</v>
      </c>
      <c r="D28" s="33" t="s">
        <v>39</v>
      </c>
      <c r="E28" s="33" t="s">
        <v>40</v>
      </c>
      <c r="F28" s="34" t="n">
        <v>30</v>
      </c>
      <c r="G28" s="34" t="n">
        <v>26</v>
      </c>
      <c r="H28" s="34" t="n">
        <v>3</v>
      </c>
      <c r="I28" s="35" t="n">
        <v>65</v>
      </c>
      <c r="J28" s="35" t="n">
        <v>0</v>
      </c>
      <c r="K28" s="36" t="n">
        <v>4.2</v>
      </c>
      <c r="L28" s="37"/>
    </row>
    <row r="29" customFormat="false" ht="27" hidden="false" customHeight="true" outlineLevel="0" collapsed="false">
      <c r="A29" s="31" t="s">
        <v>87</v>
      </c>
      <c r="B29" s="32" t="n">
        <v>46193.5</v>
      </c>
      <c r="C29" s="33" t="s">
        <v>47</v>
      </c>
      <c r="D29" s="33" t="s">
        <v>39</v>
      </c>
      <c r="E29" s="33" t="s">
        <v>40</v>
      </c>
      <c r="F29" s="34" t="n">
        <v>24</v>
      </c>
      <c r="G29" s="34" t="n">
        <v>19</v>
      </c>
      <c r="H29" s="34" t="n">
        <v>2</v>
      </c>
      <c r="I29" s="35" t="n">
        <v>95</v>
      </c>
      <c r="J29" s="35" t="n">
        <v>95</v>
      </c>
      <c r="K29" s="36" t="n">
        <v>4.3</v>
      </c>
      <c r="L29" s="37"/>
    </row>
    <row r="30" customFormat="false" ht="27" hidden="false" customHeight="true" outlineLevel="0" collapsed="false">
      <c r="A30" s="31" t="s">
        <v>88</v>
      </c>
      <c r="B30" s="32" t="n">
        <v>46196.5</v>
      </c>
      <c r="C30" s="33" t="s">
        <v>50</v>
      </c>
      <c r="D30" s="33" t="s">
        <v>44</v>
      </c>
      <c r="E30" s="33" t="s">
        <v>45</v>
      </c>
      <c r="F30" s="34" t="n">
        <v>16</v>
      </c>
      <c r="G30" s="34" t="n">
        <v>14</v>
      </c>
      <c r="H30" s="34" t="n">
        <v>1</v>
      </c>
      <c r="I30" s="35" t="n">
        <v>110</v>
      </c>
      <c r="J30" s="35" t="n">
        <v>0</v>
      </c>
      <c r="K30" s="36" t="n">
        <v>4.7</v>
      </c>
      <c r="L30" s="37"/>
    </row>
    <row r="31" customFormat="false" ht="27" hidden="false" customHeight="true" outlineLevel="0" collapsed="false">
      <c r="A31" s="31" t="s">
        <v>89</v>
      </c>
      <c r="B31" s="32" t="n">
        <v>46198.5</v>
      </c>
      <c r="C31" s="33" t="s">
        <v>38</v>
      </c>
      <c r="D31" s="33" t="s">
        <v>39</v>
      </c>
      <c r="E31" s="33" t="s">
        <v>40</v>
      </c>
      <c r="F31" s="34" t="n">
        <v>24</v>
      </c>
      <c r="G31" s="34" t="n">
        <v>21</v>
      </c>
      <c r="H31" s="34" t="n">
        <v>1</v>
      </c>
      <c r="I31" s="35" t="n">
        <v>85</v>
      </c>
      <c r="J31" s="35" t="n">
        <v>0</v>
      </c>
      <c r="K31" s="36" t="n">
        <v>4.6</v>
      </c>
      <c r="L31" s="37"/>
    </row>
    <row r="32" customFormat="false" ht="27" hidden="false" customHeight="true" outlineLevel="0" collapsed="false">
      <c r="A32" s="31" t="s">
        <v>90</v>
      </c>
      <c r="B32" s="32" t="n">
        <v>46199.5</v>
      </c>
      <c r="C32" s="33" t="s">
        <v>43</v>
      </c>
      <c r="D32" s="33" t="s">
        <v>44</v>
      </c>
      <c r="E32" s="33" t="s">
        <v>56</v>
      </c>
      <c r="F32" s="34" t="n">
        <v>18</v>
      </c>
      <c r="G32" s="34" t="n">
        <v>14</v>
      </c>
      <c r="H32" s="34" t="n">
        <v>2</v>
      </c>
      <c r="I32" s="35" t="n">
        <v>80</v>
      </c>
      <c r="J32" s="35" t="n">
        <v>0</v>
      </c>
      <c r="K32" s="36" t="n">
        <v>4.1</v>
      </c>
      <c r="L32" s="37"/>
    </row>
    <row r="33" customFormat="false" ht="27" hidden="false" customHeight="true" outlineLevel="0" collapsed="false">
      <c r="A33" s="31" t="s">
        <v>91</v>
      </c>
      <c r="B33" s="32" t="n">
        <v>46200.5</v>
      </c>
      <c r="C33" s="33" t="s">
        <v>47</v>
      </c>
      <c r="D33" s="33" t="s">
        <v>39</v>
      </c>
      <c r="E33" s="33" t="s">
        <v>40</v>
      </c>
      <c r="F33" s="34" t="n">
        <v>24</v>
      </c>
      <c r="G33" s="34" t="n">
        <v>21</v>
      </c>
      <c r="H33" s="34" t="n">
        <v>3</v>
      </c>
      <c r="I33" s="35" t="n">
        <v>95</v>
      </c>
      <c r="J33" s="35" t="n">
        <v>0</v>
      </c>
      <c r="K33" s="36" t="n">
        <v>4.5</v>
      </c>
      <c r="L33" s="37"/>
    </row>
    <row r="34" customFormat="false" ht="27" hidden="false" customHeight="true" outlineLevel="0" collapsed="false">
      <c r="A34" s="38" t="s">
        <v>92</v>
      </c>
      <c r="B34" s="39" t="n">
        <v>46203.5</v>
      </c>
      <c r="C34" s="40" t="s">
        <v>50</v>
      </c>
      <c r="D34" s="40" t="s">
        <v>44</v>
      </c>
      <c r="E34" s="40" t="s">
        <v>51</v>
      </c>
      <c r="F34" s="41" t="n">
        <v>16</v>
      </c>
      <c r="G34" s="41" t="n">
        <v>16</v>
      </c>
      <c r="H34" s="41" t="n">
        <v>1</v>
      </c>
      <c r="I34" s="42" t="n">
        <v>110</v>
      </c>
      <c r="J34" s="42" t="n">
        <v>110</v>
      </c>
      <c r="K34" s="43" t="n">
        <v>4.8</v>
      </c>
      <c r="L34" s="44" t="s">
        <v>93</v>
      </c>
    </row>
  </sheetData>
  <mergeCells count="2">
    <mergeCell ref="A1:L2"/>
    <mergeCell ref="A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2"/>
    <col collapsed="false" customWidth="true" hidden="false" outlineLevel="0" max="3" min="3" style="1" width="24"/>
    <col collapsed="false" customWidth="true" hidden="false" outlineLevel="0" max="4" min="4" style="1" width="14"/>
    <col collapsed="false" customWidth="true" hidden="false" outlineLevel="0" max="5" min="5" style="1" width="10"/>
    <col collapsed="false" customWidth="true" hidden="false" outlineLevel="0" max="8" min="6" style="1" width="9"/>
    <col collapsed="false" customWidth="true" hidden="false" outlineLevel="0" max="9" min="9" style="1" width="12"/>
    <col collapsed="false" customWidth="true" hidden="false" outlineLevel="0" max="10" min="10" style="1" width="10"/>
    <col collapsed="false" customWidth="true" hidden="false" outlineLevel="0" max="11" min="11" style="1" width="14"/>
    <col collapsed="false" customWidth="true" hidden="false" outlineLevel="0" max="12" min="12" style="1" width="40"/>
    <col collapsed="false" customWidth="true" hidden="false" outlineLevel="0" max="13" min="13" style="0" width="11"/>
    <col collapsed="false" customWidth="true" hidden="false" outlineLevel="0" max="16" min="14" style="0" width="14"/>
    <col collapsed="false" customWidth="true" hidden="false" outlineLevel="0" max="17" min="17" style="0" width="40"/>
  </cols>
  <sheetData>
    <row r="1" customFormat="false" ht="17.25" hidden="false" customHeight="true" outlineLevel="0" collapsed="false">
      <c r="A1" s="45" t="s">
        <v>94</v>
      </c>
    </row>
    <row r="3" customFormat="false" ht="30" hidden="false" customHeight="true" outlineLevel="0" collapsed="false">
      <c r="A3" s="46" t="s">
        <v>95</v>
      </c>
      <c r="B3" s="46"/>
      <c r="C3" s="46"/>
      <c r="D3" s="46"/>
      <c r="E3" s="46"/>
      <c r="F3" s="46"/>
      <c r="G3" s="46"/>
      <c r="H3" s="46"/>
      <c r="I3" s="46"/>
      <c r="J3" s="46"/>
      <c r="K3" s="46"/>
      <c r="L3" s="46"/>
    </row>
    <row r="5" customFormat="false" ht="26.25" hidden="false" customHeight="true" outlineLevel="0" collapsed="false">
      <c r="A5" s="47" t="s">
        <v>25</v>
      </c>
      <c r="B5" s="47" t="s">
        <v>26</v>
      </c>
      <c r="C5" s="47" t="s">
        <v>27</v>
      </c>
      <c r="D5" s="47" t="s">
        <v>28</v>
      </c>
      <c r="E5" s="47" t="s">
        <v>29</v>
      </c>
      <c r="F5" s="47" t="s">
        <v>30</v>
      </c>
      <c r="G5" s="47" t="s">
        <v>31</v>
      </c>
      <c r="H5" s="47" t="s">
        <v>32</v>
      </c>
      <c r="I5" s="47" t="s">
        <v>33</v>
      </c>
      <c r="J5" s="47" t="s">
        <v>34</v>
      </c>
      <c r="K5" s="47" t="s">
        <v>35</v>
      </c>
      <c r="L5" s="47" t="s">
        <v>36</v>
      </c>
      <c r="M5" s="47" t="s">
        <v>96</v>
      </c>
      <c r="N5" s="47" t="s">
        <v>9</v>
      </c>
      <c r="O5" s="47" t="s">
        <v>13</v>
      </c>
      <c r="P5" s="47" t="s">
        <v>16</v>
      </c>
      <c r="Q5" s="47" t="s">
        <v>97</v>
      </c>
    </row>
    <row r="6" customFormat="false" ht="15" hidden="false" customHeight="true" outlineLevel="0" collapsed="false">
      <c r="A6" s="48" t="s">
        <v>37</v>
      </c>
      <c r="B6" s="49" t="n">
        <v>46115.5</v>
      </c>
      <c r="C6" s="48" t="s">
        <v>38</v>
      </c>
      <c r="D6" s="48" t="s">
        <v>39</v>
      </c>
      <c r="E6" s="48" t="s">
        <v>40</v>
      </c>
      <c r="F6" s="48" t="n">
        <v>24</v>
      </c>
      <c r="G6" s="48" t="n">
        <v>22</v>
      </c>
      <c r="H6" s="48" t="n">
        <v>2</v>
      </c>
      <c r="I6" s="50" t="n">
        <v>85</v>
      </c>
      <c r="J6" s="50" t="n">
        <v>85</v>
      </c>
      <c r="K6" s="51" t="n">
        <v>4.6</v>
      </c>
      <c r="L6" s="48" t="s">
        <v>41</v>
      </c>
      <c r="M6" s="52" t="n">
        <f aca="false">G6-H6</f>
        <v>20</v>
      </c>
      <c r="N6" s="53" t="n">
        <f aca="false">G6*I6</f>
        <v>1870</v>
      </c>
      <c r="O6" s="53" t="n">
        <f aca="false">IF(ISBLANK(J6),"",N6-J6)</f>
        <v>1785</v>
      </c>
      <c r="P6" s="54" t="n">
        <f aca="false">IF(G6=0,"",M6/G6)</f>
        <v>0.909090909090909</v>
      </c>
      <c r="Q6" s="55" t="str">
        <f aca="false">IF(ISBLANK(J6),"Refund missing - net revenue not calculated - needs review","")</f>
        <v/>
      </c>
    </row>
    <row r="7" customFormat="false" ht="15" hidden="false" customHeight="true" outlineLevel="0" collapsed="false">
      <c r="A7" s="48" t="s">
        <v>42</v>
      </c>
      <c r="B7" s="49" t="n">
        <v>46119.5</v>
      </c>
      <c r="C7" s="48" t="s">
        <v>43</v>
      </c>
      <c r="D7" s="48" t="s">
        <v>44</v>
      </c>
      <c r="E7" s="48" t="s">
        <v>45</v>
      </c>
      <c r="F7" s="48" t="n">
        <v>18</v>
      </c>
      <c r="G7" s="48" t="n">
        <v>16</v>
      </c>
      <c r="H7" s="48" t="n">
        <v>1</v>
      </c>
      <c r="I7" s="50" t="n">
        <v>75</v>
      </c>
      <c r="J7" s="50" t="n">
        <v>0</v>
      </c>
      <c r="K7" s="51" t="n">
        <v>4.4</v>
      </c>
      <c r="L7" s="48"/>
      <c r="M7" s="52" t="n">
        <f aca="false">G7-H7</f>
        <v>15</v>
      </c>
      <c r="N7" s="53" t="n">
        <f aca="false">G7*I7</f>
        <v>1200</v>
      </c>
      <c r="O7" s="53" t="n">
        <f aca="false">IF(ISBLANK(J7),"",N7-J7)</f>
        <v>1200</v>
      </c>
      <c r="P7" s="54" t="n">
        <f aca="false">IF(G7=0,"",M7/G7)</f>
        <v>0.9375</v>
      </c>
      <c r="Q7" s="55" t="str">
        <f aca="false">IF(ISBLANK(J7),"Refund missing - net revenue not calculated - needs review","")</f>
        <v/>
      </c>
    </row>
    <row r="8" customFormat="false" ht="15" hidden="false" customHeight="true" outlineLevel="0" collapsed="false">
      <c r="A8" s="48" t="s">
        <v>46</v>
      </c>
      <c r="B8" s="49" t="n">
        <v>46122.5</v>
      </c>
      <c r="C8" s="48" t="s">
        <v>47</v>
      </c>
      <c r="D8" s="48" t="s">
        <v>39</v>
      </c>
      <c r="E8" s="48" t="s">
        <v>40</v>
      </c>
      <c r="F8" s="48" t="n">
        <v>24</v>
      </c>
      <c r="G8" s="48" t="n">
        <v>18</v>
      </c>
      <c r="H8" s="48" t="n">
        <v>4</v>
      </c>
      <c r="I8" s="50" t="n">
        <v>95</v>
      </c>
      <c r="J8" s="50" t="n">
        <v>190</v>
      </c>
      <c r="K8" s="51" t="n">
        <v>4.1</v>
      </c>
      <c r="L8" s="48" t="s">
        <v>48</v>
      </c>
      <c r="M8" s="52" t="n">
        <f aca="false">G8-H8</f>
        <v>14</v>
      </c>
      <c r="N8" s="53" t="n">
        <f aca="false">G8*I8</f>
        <v>1710</v>
      </c>
      <c r="O8" s="53" t="n">
        <f aca="false">IF(ISBLANK(J8),"",N8-J8)</f>
        <v>1520</v>
      </c>
      <c r="P8" s="54" t="n">
        <f aca="false">IF(G8=0,"",M8/G8)</f>
        <v>0.777777777777778</v>
      </c>
      <c r="Q8" s="55" t="str">
        <f aca="false">IF(ISBLANK(J8),"Refund missing - net revenue not calculated - needs review","")</f>
        <v/>
      </c>
    </row>
    <row r="9" customFormat="false" ht="15" hidden="false" customHeight="true" outlineLevel="0" collapsed="false">
      <c r="A9" s="48" t="s">
        <v>49</v>
      </c>
      <c r="B9" s="49" t="n">
        <v>46126.5</v>
      </c>
      <c r="C9" s="48" t="s">
        <v>50</v>
      </c>
      <c r="D9" s="48" t="s">
        <v>44</v>
      </c>
      <c r="E9" s="48" t="s">
        <v>51</v>
      </c>
      <c r="F9" s="48" t="n">
        <v>16</v>
      </c>
      <c r="G9" s="48" t="n">
        <v>13</v>
      </c>
      <c r="H9" s="48" t="n">
        <v>1</v>
      </c>
      <c r="I9" s="50" t="n">
        <v>110</v>
      </c>
      <c r="J9" s="50" t="n">
        <v>0</v>
      </c>
      <c r="K9" s="51" t="n">
        <v>4.8</v>
      </c>
      <c r="L9" s="48" t="s">
        <v>52</v>
      </c>
      <c r="M9" s="52" t="n">
        <f aca="false">G9-H9</f>
        <v>12</v>
      </c>
      <c r="N9" s="53" t="n">
        <f aca="false">G9*I9</f>
        <v>1430</v>
      </c>
      <c r="O9" s="53" t="n">
        <f aca="false">IF(ISBLANK(J9),"",N9-J9)</f>
        <v>1430</v>
      </c>
      <c r="P9" s="54" t="n">
        <f aca="false">IF(G9=0,"",M9/G9)</f>
        <v>0.923076923076923</v>
      </c>
      <c r="Q9" s="55" t="str">
        <f aca="false">IF(ISBLANK(J9),"Refund missing - net revenue not calculated - needs review","")</f>
        <v/>
      </c>
    </row>
    <row r="10" customFormat="false" ht="15" hidden="false" customHeight="true" outlineLevel="0" collapsed="false">
      <c r="A10" s="48" t="s">
        <v>53</v>
      </c>
      <c r="B10" s="49" t="n">
        <v>46130.5</v>
      </c>
      <c r="C10" s="48" t="s">
        <v>38</v>
      </c>
      <c r="D10" s="48" t="s">
        <v>44</v>
      </c>
      <c r="E10" s="48" t="s">
        <v>56</v>
      </c>
      <c r="F10" s="48" t="n">
        <v>20</v>
      </c>
      <c r="G10" s="48" t="n">
        <v>19</v>
      </c>
      <c r="H10" s="48" t="n">
        <v>2</v>
      </c>
      <c r="I10" s="50" t="n">
        <v>95</v>
      </c>
      <c r="J10" s="50" t="n">
        <v>95</v>
      </c>
      <c r="K10" s="51" t="n">
        <v>4.7</v>
      </c>
      <c r="L10" s="48"/>
      <c r="M10" s="52" t="n">
        <f aca="false">G10-H10</f>
        <v>17</v>
      </c>
      <c r="N10" s="53" t="n">
        <f aca="false">G10*I10</f>
        <v>1805</v>
      </c>
      <c r="O10" s="53" t="n">
        <f aca="false">IF(ISBLANK(J10),"",N10-J10)</f>
        <v>1710</v>
      </c>
      <c r="P10" s="54" t="n">
        <f aca="false">IF(G10=0,"",M10/G10)</f>
        <v>0.894736842105263</v>
      </c>
      <c r="Q10" s="55" t="str">
        <f aca="false">IF(ISBLANK(J10),"Refund missing - net revenue not calculated - needs review","")</f>
        <v/>
      </c>
    </row>
    <row r="11" customFormat="false" ht="15" hidden="false" customHeight="true" outlineLevel="0" collapsed="false">
      <c r="A11" s="48" t="s">
        <v>57</v>
      </c>
      <c r="B11" s="49" t="n">
        <v>46134.5</v>
      </c>
      <c r="C11" s="48" t="s">
        <v>43</v>
      </c>
      <c r="D11" s="48" t="s">
        <v>39</v>
      </c>
      <c r="E11" s="48" t="s">
        <v>40</v>
      </c>
      <c r="F11" s="48" t="n">
        <v>30</v>
      </c>
      <c r="G11" s="48" t="n">
        <v>25</v>
      </c>
      <c r="H11" s="48" t="n">
        <v>5</v>
      </c>
      <c r="I11" s="50" t="n">
        <v>65</v>
      </c>
      <c r="J11" s="50" t="n">
        <v>65</v>
      </c>
      <c r="K11" s="51" t="n">
        <v>4</v>
      </c>
      <c r="L11" s="48" t="s">
        <v>59</v>
      </c>
      <c r="M11" s="52" t="n">
        <f aca="false">G11-H11</f>
        <v>20</v>
      </c>
      <c r="N11" s="53" t="n">
        <f aca="false">G11*I11</f>
        <v>1625</v>
      </c>
      <c r="O11" s="53" t="n">
        <f aca="false">IF(ISBLANK(J11),"",N11-J11)</f>
        <v>1560</v>
      </c>
      <c r="P11" s="54" t="n">
        <f aca="false">IF(G11=0,"",M11/G11)</f>
        <v>0.8</v>
      </c>
      <c r="Q11" s="55" t="str">
        <f aca="false">IF(ISBLANK(J11),"Refund missing - net revenue not calculated - needs review","")</f>
        <v/>
      </c>
    </row>
    <row r="12" customFormat="false" ht="15" hidden="false" customHeight="true" outlineLevel="0" collapsed="false">
      <c r="A12" s="48" t="s">
        <v>60</v>
      </c>
      <c r="B12" s="49" t="n">
        <v>46137.5</v>
      </c>
      <c r="C12" s="48" t="s">
        <v>47</v>
      </c>
      <c r="D12" s="48" t="s">
        <v>44</v>
      </c>
      <c r="E12" s="48" t="s">
        <v>45</v>
      </c>
      <c r="F12" s="48" t="n">
        <v>18</v>
      </c>
      <c r="G12" s="48" t="n">
        <v>17</v>
      </c>
      <c r="H12" s="48" t="n">
        <v>1</v>
      </c>
      <c r="I12" s="50" t="n">
        <v>120</v>
      </c>
      <c r="J12" s="50"/>
      <c r="K12" s="51" t="n">
        <v>4.5</v>
      </c>
      <c r="L12" s="48" t="s">
        <v>61</v>
      </c>
      <c r="M12" s="52" t="n">
        <f aca="false">G12-H12</f>
        <v>16</v>
      </c>
      <c r="N12" s="53" t="n">
        <f aca="false">G12*I12</f>
        <v>2040</v>
      </c>
      <c r="O12" s="53" t="str">
        <f aca="false">IF(ISBLANK(J12),"",N12-J12)</f>
        <v/>
      </c>
      <c r="P12" s="54" t="n">
        <f aca="false">IF(G12=0,"",M12/G12)</f>
        <v>0.941176470588235</v>
      </c>
      <c r="Q12" s="55" t="str">
        <f aca="false">IF(ISBLANK(J12),"Refund missing - net revenue not calculated - needs review","")</f>
        <v>Refund missing - net revenue not calculated - needs review</v>
      </c>
    </row>
    <row r="13" customFormat="false" ht="15" hidden="false" customHeight="true" outlineLevel="0" collapsed="false">
      <c r="A13" s="48" t="s">
        <v>62</v>
      </c>
      <c r="B13" s="49" t="n">
        <v>46141.5</v>
      </c>
      <c r="C13" s="48" t="s">
        <v>50</v>
      </c>
      <c r="D13" s="48" t="s">
        <v>39</v>
      </c>
      <c r="E13" s="48" t="s">
        <v>40</v>
      </c>
      <c r="F13" s="48" t="n">
        <v>24</v>
      </c>
      <c r="G13" s="48" t="n">
        <v>15</v>
      </c>
      <c r="H13" s="48" t="n">
        <v>3</v>
      </c>
      <c r="I13" s="50" t="n">
        <v>90</v>
      </c>
      <c r="J13" s="50" t="n">
        <v>0</v>
      </c>
      <c r="K13" s="51" t="n">
        <v>4.2</v>
      </c>
      <c r="L13" s="48"/>
      <c r="M13" s="52" t="n">
        <f aca="false">G13-H13</f>
        <v>12</v>
      </c>
      <c r="N13" s="53" t="n">
        <f aca="false">G13*I13</f>
        <v>1350</v>
      </c>
      <c r="O13" s="53" t="n">
        <f aca="false">IF(ISBLANK(J13),"",N13-J13)</f>
        <v>1350</v>
      </c>
      <c r="P13" s="54" t="n">
        <f aca="false">IF(G13=0,"",M13/G13)</f>
        <v>0.8</v>
      </c>
      <c r="Q13" s="55" t="str">
        <f aca="false">IF(ISBLANK(J13),"Refund missing - net revenue not calculated - needs review","")</f>
        <v/>
      </c>
    </row>
    <row r="14" customFormat="false" ht="15" hidden="false" customHeight="true" outlineLevel="0" collapsed="false">
      <c r="A14" s="48" t="s">
        <v>63</v>
      </c>
      <c r="B14" s="49" t="n">
        <v>46144.5</v>
      </c>
      <c r="C14" s="48" t="s">
        <v>38</v>
      </c>
      <c r="D14" s="48" t="s">
        <v>39</v>
      </c>
      <c r="E14" s="48" t="s">
        <v>40</v>
      </c>
      <c r="F14" s="48" t="n">
        <v>24</v>
      </c>
      <c r="G14" s="48" t="n">
        <v>24</v>
      </c>
      <c r="H14" s="48" t="n">
        <v>1</v>
      </c>
      <c r="I14" s="50" t="n">
        <v>85</v>
      </c>
      <c r="J14" s="50" t="n">
        <v>0</v>
      </c>
      <c r="K14" s="51" t="n">
        <v>4.8</v>
      </c>
      <c r="L14" s="48" t="s">
        <v>64</v>
      </c>
      <c r="M14" s="52" t="n">
        <f aca="false">G14-H14</f>
        <v>23</v>
      </c>
      <c r="N14" s="53" t="n">
        <f aca="false">G14*I14</f>
        <v>2040</v>
      </c>
      <c r="O14" s="53" t="n">
        <f aca="false">IF(ISBLANK(J14),"",N14-J14)</f>
        <v>2040</v>
      </c>
      <c r="P14" s="54" t="n">
        <f aca="false">IF(G14=0,"",M14/G14)</f>
        <v>0.958333333333333</v>
      </c>
      <c r="Q14" s="55" t="str">
        <f aca="false">IF(ISBLANK(J14),"Refund missing - net revenue not calculated - needs review","")</f>
        <v/>
      </c>
    </row>
    <row r="15" customFormat="false" ht="15" hidden="false" customHeight="true" outlineLevel="0" collapsed="false">
      <c r="A15" s="48" t="s">
        <v>65</v>
      </c>
      <c r="B15" s="49" t="n">
        <v>46148.5</v>
      </c>
      <c r="C15" s="48" t="s">
        <v>43</v>
      </c>
      <c r="D15" s="48" t="s">
        <v>44</v>
      </c>
      <c r="E15" s="48" t="s">
        <v>51</v>
      </c>
      <c r="F15" s="48" t="n">
        <v>18</v>
      </c>
      <c r="G15" s="48" t="n">
        <v>15</v>
      </c>
      <c r="H15" s="48" t="n">
        <v>2</v>
      </c>
      <c r="I15" s="50" t="n">
        <v>80</v>
      </c>
      <c r="J15" s="50" t="n">
        <v>80</v>
      </c>
      <c r="K15" s="51" t="n">
        <v>4.3</v>
      </c>
      <c r="L15" s="48"/>
      <c r="M15" s="52" t="n">
        <f aca="false">G15-H15</f>
        <v>13</v>
      </c>
      <c r="N15" s="53" t="n">
        <f aca="false">G15*I15</f>
        <v>1200</v>
      </c>
      <c r="O15" s="53" t="n">
        <f aca="false">IF(ISBLANK(J15),"",N15-J15)</f>
        <v>1120</v>
      </c>
      <c r="P15" s="54" t="n">
        <f aca="false">IF(G15=0,"",M15/G15)</f>
        <v>0.866666666666667</v>
      </c>
      <c r="Q15" s="55" t="str">
        <f aca="false">IF(ISBLANK(J15),"Refund missing - net revenue not calculated - needs review","")</f>
        <v/>
      </c>
    </row>
    <row r="16" customFormat="false" ht="15" hidden="false" customHeight="true" outlineLevel="0" collapsed="false">
      <c r="A16" s="48" t="s">
        <v>67</v>
      </c>
      <c r="B16" s="49" t="n">
        <v>46151.5</v>
      </c>
      <c r="C16" s="48" t="s">
        <v>47</v>
      </c>
      <c r="D16" s="48" t="s">
        <v>39</v>
      </c>
      <c r="E16" s="48" t="s">
        <v>40</v>
      </c>
      <c r="F16" s="48" t="n">
        <v>24</v>
      </c>
      <c r="G16" s="48" t="n">
        <v>20</v>
      </c>
      <c r="H16" s="48" t="n">
        <v>2</v>
      </c>
      <c r="I16" s="50" t="n">
        <v>95</v>
      </c>
      <c r="J16" s="50" t="n">
        <v>0</v>
      </c>
      <c r="K16" s="51"/>
      <c r="L16" s="48" t="s">
        <v>68</v>
      </c>
      <c r="M16" s="52" t="n">
        <f aca="false">G16-H16</f>
        <v>18</v>
      </c>
      <c r="N16" s="53" t="n">
        <f aca="false">G16*I16</f>
        <v>1900</v>
      </c>
      <c r="O16" s="53" t="n">
        <f aca="false">IF(ISBLANK(J16),"",N16-J16)</f>
        <v>1900</v>
      </c>
      <c r="P16" s="54" t="n">
        <f aca="false">IF(G16=0,"",M16/G16)</f>
        <v>0.9</v>
      </c>
      <c r="Q16" s="55" t="str">
        <f aca="false">IF(ISBLANK(J16),"Refund missing - net revenue not calculated - needs review","")</f>
        <v/>
      </c>
    </row>
    <row r="17" customFormat="false" ht="15" hidden="false" customHeight="true" outlineLevel="0" collapsed="false">
      <c r="A17" s="48" t="s">
        <v>69</v>
      </c>
      <c r="B17" s="49" t="n">
        <v>46155.5</v>
      </c>
      <c r="C17" s="48" t="s">
        <v>50</v>
      </c>
      <c r="D17" s="48" t="s">
        <v>44</v>
      </c>
      <c r="E17" s="48" t="s">
        <v>45</v>
      </c>
      <c r="F17" s="48" t="n">
        <v>16</v>
      </c>
      <c r="G17" s="48" t="n">
        <v>15</v>
      </c>
      <c r="H17" s="48" t="n">
        <v>0</v>
      </c>
      <c r="I17" s="50" t="n">
        <v>110</v>
      </c>
      <c r="J17" s="50" t="n">
        <v>0</v>
      </c>
      <c r="K17" s="51" t="n">
        <v>4.9</v>
      </c>
      <c r="L17" s="48" t="s">
        <v>70</v>
      </c>
      <c r="M17" s="52" t="n">
        <f aca="false">G17-H17</f>
        <v>15</v>
      </c>
      <c r="N17" s="53" t="n">
        <f aca="false">G17*I17</f>
        <v>1650</v>
      </c>
      <c r="O17" s="53" t="n">
        <f aca="false">IF(ISBLANK(J17),"",N17-J17)</f>
        <v>1650</v>
      </c>
      <c r="P17" s="54" t="n">
        <f aca="false">IF(G17=0,"",M17/G17)</f>
        <v>1</v>
      </c>
      <c r="Q17" s="55" t="str">
        <f aca="false">IF(ISBLANK(J17),"Refund missing - net revenue not calculated - needs review","")</f>
        <v/>
      </c>
    </row>
    <row r="18" customFormat="false" ht="15" hidden="false" customHeight="true" outlineLevel="0" collapsed="false">
      <c r="A18" s="48" t="s">
        <v>71</v>
      </c>
      <c r="B18" s="49" t="n">
        <v>46158.5</v>
      </c>
      <c r="C18" s="48" t="s">
        <v>38</v>
      </c>
      <c r="D18" s="48" t="s">
        <v>44</v>
      </c>
      <c r="E18" s="48" t="s">
        <v>56</v>
      </c>
      <c r="F18" s="48" t="n">
        <v>20</v>
      </c>
      <c r="G18" s="48" t="n">
        <v>18</v>
      </c>
      <c r="H18" s="48" t="n">
        <v>1</v>
      </c>
      <c r="I18" s="50" t="n">
        <v>95</v>
      </c>
      <c r="J18" s="50" t="n">
        <v>0</v>
      </c>
      <c r="K18" s="51" t="n">
        <v>4.6</v>
      </c>
      <c r="L18" s="48"/>
      <c r="M18" s="52" t="n">
        <f aca="false">G18-H18</f>
        <v>17</v>
      </c>
      <c r="N18" s="53" t="n">
        <f aca="false">G18*I18</f>
        <v>1710</v>
      </c>
      <c r="O18" s="53" t="n">
        <f aca="false">IF(ISBLANK(J18),"",N18-J18)</f>
        <v>1710</v>
      </c>
      <c r="P18" s="54" t="n">
        <f aca="false">IF(G18=0,"",M18/G18)</f>
        <v>0.944444444444444</v>
      </c>
      <c r="Q18" s="55" t="str">
        <f aca="false">IF(ISBLANK(J18),"Refund missing - net revenue not calculated - needs review","")</f>
        <v/>
      </c>
    </row>
    <row r="19" customFormat="false" ht="15" hidden="false" customHeight="true" outlineLevel="0" collapsed="false">
      <c r="A19" s="48" t="s">
        <v>72</v>
      </c>
      <c r="B19" s="49" t="n">
        <v>46162.5</v>
      </c>
      <c r="C19" s="48" t="s">
        <v>43</v>
      </c>
      <c r="D19" s="48" t="s">
        <v>39</v>
      </c>
      <c r="E19" s="48" t="s">
        <v>40</v>
      </c>
      <c r="F19" s="48" t="n">
        <v>30</v>
      </c>
      <c r="G19" s="48" t="n">
        <v>27</v>
      </c>
      <c r="H19" s="48" t="n">
        <v>6</v>
      </c>
      <c r="I19" s="50" t="n">
        <v>65</v>
      </c>
      <c r="J19" s="50" t="n">
        <v>130</v>
      </c>
      <c r="K19" s="51" t="n">
        <v>3.9</v>
      </c>
      <c r="L19" s="48" t="s">
        <v>73</v>
      </c>
      <c r="M19" s="52" t="n">
        <f aca="false">G19-H19</f>
        <v>21</v>
      </c>
      <c r="N19" s="53" t="n">
        <f aca="false">G19*I19</f>
        <v>1755</v>
      </c>
      <c r="O19" s="53" t="n">
        <f aca="false">IF(ISBLANK(J19),"",N19-J19)</f>
        <v>1625</v>
      </c>
      <c r="P19" s="54" t="n">
        <f aca="false">IF(G19=0,"",M19/G19)</f>
        <v>0.777777777777778</v>
      </c>
      <c r="Q19" s="55" t="str">
        <f aca="false">IF(ISBLANK(J19),"Refund missing - net revenue not calculated - needs review","")</f>
        <v/>
      </c>
    </row>
    <row r="20" customFormat="false" ht="15" hidden="false" customHeight="true" outlineLevel="0" collapsed="false">
      <c r="A20" s="48" t="s">
        <v>74</v>
      </c>
      <c r="B20" s="49" t="n">
        <v>46165.5</v>
      </c>
      <c r="C20" s="48" t="s">
        <v>47</v>
      </c>
      <c r="D20" s="48" t="s">
        <v>44</v>
      </c>
      <c r="E20" s="48" t="s">
        <v>51</v>
      </c>
      <c r="F20" s="48" t="n">
        <v>18</v>
      </c>
      <c r="G20" s="48" t="n">
        <v>16</v>
      </c>
      <c r="H20" s="48" t="n">
        <v>1</v>
      </c>
      <c r="I20" s="50" t="n">
        <v>120</v>
      </c>
      <c r="J20" s="50" t="n">
        <v>0</v>
      </c>
      <c r="K20" s="51" t="n">
        <v>4.6</v>
      </c>
      <c r="L20" s="48"/>
      <c r="M20" s="52" t="n">
        <f aca="false">G20-H20</f>
        <v>15</v>
      </c>
      <c r="N20" s="53" t="n">
        <f aca="false">G20*I20</f>
        <v>1920</v>
      </c>
      <c r="O20" s="53" t="n">
        <f aca="false">IF(ISBLANK(J20),"",N20-J20)</f>
        <v>1920</v>
      </c>
      <c r="P20" s="54" t="n">
        <f aca="false">IF(G20=0,"",M20/G20)</f>
        <v>0.9375</v>
      </c>
      <c r="Q20" s="55" t="str">
        <f aca="false">IF(ISBLANK(J20),"Refund missing - net revenue not calculated - needs review","")</f>
        <v/>
      </c>
    </row>
    <row r="21" customFormat="false" ht="15" hidden="false" customHeight="true" outlineLevel="0" collapsed="false">
      <c r="A21" s="48" t="s">
        <v>76</v>
      </c>
      <c r="B21" s="49" t="n">
        <v>46170.5</v>
      </c>
      <c r="C21" s="48" t="s">
        <v>50</v>
      </c>
      <c r="D21" s="48" t="s">
        <v>39</v>
      </c>
      <c r="E21" s="48" t="s">
        <v>40</v>
      </c>
      <c r="F21" s="48" t="n">
        <v>24</v>
      </c>
      <c r="G21" s="48" t="n">
        <v>17</v>
      </c>
      <c r="H21" s="48" t="n">
        <v>2</v>
      </c>
      <c r="I21" s="50" t="n">
        <v>90</v>
      </c>
      <c r="J21" s="50" t="n">
        <v>90</v>
      </c>
      <c r="K21" s="51" t="n">
        <v>4.3</v>
      </c>
      <c r="L21" s="48"/>
      <c r="M21" s="52" t="n">
        <f aca="false">G21-H21</f>
        <v>15</v>
      </c>
      <c r="N21" s="53" t="n">
        <f aca="false">G21*I21</f>
        <v>1530</v>
      </c>
      <c r="O21" s="53" t="n">
        <f aca="false">IF(ISBLANK(J21),"",N21-J21)</f>
        <v>1440</v>
      </c>
      <c r="P21" s="54" t="n">
        <f aca="false">IF(G21=0,"",M21/G21)</f>
        <v>0.882352941176471</v>
      </c>
      <c r="Q21" s="55" t="str">
        <f aca="false">IF(ISBLANK(J21),"Refund missing - net revenue not calculated - needs review","")</f>
        <v/>
      </c>
    </row>
    <row r="22" customFormat="false" ht="15" hidden="false" customHeight="true" outlineLevel="0" collapsed="false">
      <c r="A22" s="48" t="s">
        <v>77</v>
      </c>
      <c r="B22" s="49" t="n">
        <v>46175.5</v>
      </c>
      <c r="C22" s="48" t="s">
        <v>38</v>
      </c>
      <c r="D22" s="48" t="s">
        <v>39</v>
      </c>
      <c r="E22" s="48" t="s">
        <v>40</v>
      </c>
      <c r="F22" s="48" t="n">
        <v>24</v>
      </c>
      <c r="G22" s="48" t="n">
        <v>23</v>
      </c>
      <c r="H22" s="48" t="n">
        <v>1</v>
      </c>
      <c r="I22" s="50" t="n">
        <v>85</v>
      </c>
      <c r="J22" s="50" t="n">
        <v>0</v>
      </c>
      <c r="K22" s="51" t="n">
        <v>4.7</v>
      </c>
      <c r="L22" s="48"/>
      <c r="M22" s="52" t="n">
        <f aca="false">G22-H22</f>
        <v>22</v>
      </c>
      <c r="N22" s="53" t="n">
        <f aca="false">G22*I22</f>
        <v>1955</v>
      </c>
      <c r="O22" s="53" t="n">
        <f aca="false">IF(ISBLANK(J22),"",N22-J22)</f>
        <v>1955</v>
      </c>
      <c r="P22" s="54" t="n">
        <f aca="false">IF(G22=0,"",M22/G22)</f>
        <v>0.956521739130435</v>
      </c>
      <c r="Q22" s="55" t="str">
        <f aca="false">IF(ISBLANK(J22),"Refund missing - net revenue not calculated - needs review","")</f>
        <v/>
      </c>
    </row>
    <row r="23" customFormat="false" ht="15" hidden="false" customHeight="true" outlineLevel="0" collapsed="false">
      <c r="A23" s="48" t="s">
        <v>78</v>
      </c>
      <c r="B23" s="49" t="n">
        <v>46178.5</v>
      </c>
      <c r="C23" s="48" t="s">
        <v>43</v>
      </c>
      <c r="D23" s="48" t="s">
        <v>44</v>
      </c>
      <c r="E23" s="48" t="s">
        <v>45</v>
      </c>
      <c r="F23" s="48" t="n">
        <v>18</v>
      </c>
      <c r="G23" s="48" t="n">
        <v>17</v>
      </c>
      <c r="H23" s="48" t="n">
        <v>0</v>
      </c>
      <c r="I23" s="50" t="n">
        <v>80</v>
      </c>
      <c r="J23" s="50" t="n">
        <v>0</v>
      </c>
      <c r="K23" s="51" t="n">
        <v>4.5</v>
      </c>
      <c r="L23" s="48"/>
      <c r="M23" s="52" t="n">
        <f aca="false">G23-H23</f>
        <v>17</v>
      </c>
      <c r="N23" s="53" t="n">
        <f aca="false">G23*I23</f>
        <v>1360</v>
      </c>
      <c r="O23" s="53" t="n">
        <f aca="false">IF(ISBLANK(J23),"",N23-J23)</f>
        <v>1360</v>
      </c>
      <c r="P23" s="54" t="n">
        <f aca="false">IF(G23=0,"",M23/G23)</f>
        <v>1</v>
      </c>
      <c r="Q23" s="55" t="str">
        <f aca="false">IF(ISBLANK(J23),"Refund missing - net revenue not calculated - needs review","")</f>
        <v/>
      </c>
    </row>
    <row r="24" customFormat="false" ht="15" hidden="false" customHeight="true" outlineLevel="0" collapsed="false">
      <c r="A24" s="48" t="s">
        <v>79</v>
      </c>
      <c r="B24" s="49" t="n">
        <v>46182.5</v>
      </c>
      <c r="C24" s="48" t="s">
        <v>47</v>
      </c>
      <c r="D24" s="48" t="s">
        <v>44</v>
      </c>
      <c r="E24" s="48" t="s">
        <v>56</v>
      </c>
      <c r="F24" s="48" t="n">
        <v>20</v>
      </c>
      <c r="G24" s="48" t="n">
        <v>23</v>
      </c>
      <c r="H24" s="48" t="n">
        <v>2</v>
      </c>
      <c r="I24" s="50" t="n">
        <v>120</v>
      </c>
      <c r="J24" s="50" t="n">
        <v>0</v>
      </c>
      <c r="K24" s="51" t="n">
        <v>4.4</v>
      </c>
      <c r="L24" s="48" t="s">
        <v>80</v>
      </c>
      <c r="M24" s="52" t="n">
        <f aca="false">G24-H24</f>
        <v>21</v>
      </c>
      <c r="N24" s="53" t="n">
        <f aca="false">G24*I24</f>
        <v>2760</v>
      </c>
      <c r="O24" s="53" t="n">
        <f aca="false">IF(ISBLANK(J24),"",N24-J24)</f>
        <v>2760</v>
      </c>
      <c r="P24" s="54" t="n">
        <f aca="false">IF(G24=0,"",M24/G24)</f>
        <v>0.91304347826087</v>
      </c>
      <c r="Q24" s="55" t="str">
        <f aca="false">IF(ISBLANK(J24),"Refund missing - net revenue not calculated - needs review","")</f>
        <v/>
      </c>
    </row>
    <row r="25" customFormat="false" ht="15" hidden="false" customHeight="true" outlineLevel="0" collapsed="false">
      <c r="A25" s="48" t="s">
        <v>81</v>
      </c>
      <c r="B25" s="49" t="n">
        <v>46185.5</v>
      </c>
      <c r="C25" s="48" t="s">
        <v>50</v>
      </c>
      <c r="D25" s="48" t="s">
        <v>39</v>
      </c>
      <c r="E25" s="48" t="s">
        <v>40</v>
      </c>
      <c r="F25" s="48" t="n">
        <v>24</v>
      </c>
      <c r="G25" s="48" t="n">
        <v>19</v>
      </c>
      <c r="H25" s="48" t="n">
        <v>3</v>
      </c>
      <c r="I25" s="50" t="n">
        <v>90</v>
      </c>
      <c r="J25" s="50" t="n">
        <v>0</v>
      </c>
      <c r="K25" s="51" t="n">
        <v>4.4</v>
      </c>
      <c r="L25" s="48" t="s">
        <v>84</v>
      </c>
      <c r="M25" s="52" t="n">
        <f aca="false">G25-H25</f>
        <v>16</v>
      </c>
      <c r="N25" s="53" t="n">
        <f aca="false">G25*I25</f>
        <v>1710</v>
      </c>
      <c r="O25" s="53" t="n">
        <f aca="false">IF(ISBLANK(J25),"",N25-J25)</f>
        <v>1710</v>
      </c>
      <c r="P25" s="54" t="n">
        <f aca="false">IF(G25=0,"",M25/G25)</f>
        <v>0.842105263157895</v>
      </c>
      <c r="Q25" s="55" t="str">
        <f aca="false">IF(ISBLANK(J25),"Refund missing - net revenue not calculated - needs review","")</f>
        <v/>
      </c>
    </row>
    <row r="26" customFormat="false" ht="15" hidden="false" customHeight="true" outlineLevel="0" collapsed="false">
      <c r="A26" s="48" t="s">
        <v>85</v>
      </c>
      <c r="B26" s="49" t="n">
        <v>46189.5</v>
      </c>
      <c r="C26" s="48" t="s">
        <v>38</v>
      </c>
      <c r="D26" s="48" t="s">
        <v>44</v>
      </c>
      <c r="E26" s="48" t="s">
        <v>51</v>
      </c>
      <c r="F26" s="48" t="n">
        <v>20</v>
      </c>
      <c r="G26" s="48" t="n">
        <v>20</v>
      </c>
      <c r="H26" s="48" t="n">
        <v>1</v>
      </c>
      <c r="I26" s="50" t="n">
        <v>95</v>
      </c>
      <c r="J26" s="50" t="n">
        <v>95</v>
      </c>
      <c r="K26" s="51" t="n">
        <v>4.8</v>
      </c>
      <c r="L26" s="48"/>
      <c r="M26" s="52" t="n">
        <f aca="false">G26-H26</f>
        <v>19</v>
      </c>
      <c r="N26" s="53" t="n">
        <f aca="false">G26*I26</f>
        <v>1900</v>
      </c>
      <c r="O26" s="53" t="n">
        <f aca="false">IF(ISBLANK(J26),"",N26-J26)</f>
        <v>1805</v>
      </c>
      <c r="P26" s="54" t="n">
        <f aca="false">IF(G26=0,"",M26/G26)</f>
        <v>0.95</v>
      </c>
      <c r="Q26" s="55" t="str">
        <f aca="false">IF(ISBLANK(J26),"Refund missing - net revenue not calculated - needs review","")</f>
        <v/>
      </c>
    </row>
    <row r="27" customFormat="false" ht="15" hidden="false" customHeight="true" outlineLevel="0" collapsed="false">
      <c r="A27" s="48" t="s">
        <v>86</v>
      </c>
      <c r="B27" s="49" t="n">
        <v>46191.5</v>
      </c>
      <c r="C27" s="48" t="s">
        <v>43</v>
      </c>
      <c r="D27" s="48" t="s">
        <v>39</v>
      </c>
      <c r="E27" s="48" t="s">
        <v>40</v>
      </c>
      <c r="F27" s="48" t="n">
        <v>30</v>
      </c>
      <c r="G27" s="48" t="n">
        <v>26</v>
      </c>
      <c r="H27" s="48" t="n">
        <v>3</v>
      </c>
      <c r="I27" s="50" t="n">
        <v>65</v>
      </c>
      <c r="J27" s="50" t="n">
        <v>0</v>
      </c>
      <c r="K27" s="51" t="n">
        <v>4.2</v>
      </c>
      <c r="L27" s="48"/>
      <c r="M27" s="52" t="n">
        <f aca="false">G27-H27</f>
        <v>23</v>
      </c>
      <c r="N27" s="53" t="n">
        <f aca="false">G27*I27</f>
        <v>1690</v>
      </c>
      <c r="O27" s="53" t="n">
        <f aca="false">IF(ISBLANK(J27),"",N27-J27)</f>
        <v>1690</v>
      </c>
      <c r="P27" s="54" t="n">
        <f aca="false">IF(G27=0,"",M27/G27)</f>
        <v>0.884615384615385</v>
      </c>
      <c r="Q27" s="55" t="str">
        <f aca="false">IF(ISBLANK(J27),"Refund missing - net revenue not calculated - needs review","")</f>
        <v/>
      </c>
    </row>
    <row r="28" customFormat="false" ht="15" hidden="false" customHeight="true" outlineLevel="0" collapsed="false">
      <c r="A28" s="48" t="s">
        <v>87</v>
      </c>
      <c r="B28" s="49" t="n">
        <v>46193.5</v>
      </c>
      <c r="C28" s="48" t="s">
        <v>47</v>
      </c>
      <c r="D28" s="48" t="s">
        <v>39</v>
      </c>
      <c r="E28" s="48" t="s">
        <v>40</v>
      </c>
      <c r="F28" s="48" t="n">
        <v>24</v>
      </c>
      <c r="G28" s="48" t="n">
        <v>19</v>
      </c>
      <c r="H28" s="48" t="n">
        <v>2</v>
      </c>
      <c r="I28" s="50" t="n">
        <v>95</v>
      </c>
      <c r="J28" s="50" t="n">
        <v>95</v>
      </c>
      <c r="K28" s="51" t="n">
        <v>4.3</v>
      </c>
      <c r="L28" s="48"/>
      <c r="M28" s="52" t="n">
        <f aca="false">G28-H28</f>
        <v>17</v>
      </c>
      <c r="N28" s="53" t="n">
        <f aca="false">G28*I28</f>
        <v>1805</v>
      </c>
      <c r="O28" s="53" t="n">
        <f aca="false">IF(ISBLANK(J28),"",N28-J28)</f>
        <v>1710</v>
      </c>
      <c r="P28" s="54" t="n">
        <f aca="false">IF(G28=0,"",M28/G28)</f>
        <v>0.894736842105263</v>
      </c>
      <c r="Q28" s="55" t="str">
        <f aca="false">IF(ISBLANK(J28),"Refund missing - net revenue not calculated - needs review","")</f>
        <v/>
      </c>
    </row>
    <row r="29" customFormat="false" ht="15" hidden="false" customHeight="true" outlineLevel="0" collapsed="false">
      <c r="A29" s="48" t="s">
        <v>88</v>
      </c>
      <c r="B29" s="49" t="n">
        <v>46196.5</v>
      </c>
      <c r="C29" s="48" t="s">
        <v>50</v>
      </c>
      <c r="D29" s="48" t="s">
        <v>44</v>
      </c>
      <c r="E29" s="48" t="s">
        <v>45</v>
      </c>
      <c r="F29" s="48" t="n">
        <v>16</v>
      </c>
      <c r="G29" s="48" t="n">
        <v>14</v>
      </c>
      <c r="H29" s="48" t="n">
        <v>1</v>
      </c>
      <c r="I29" s="50" t="n">
        <v>110</v>
      </c>
      <c r="J29" s="50" t="n">
        <v>0</v>
      </c>
      <c r="K29" s="51" t="n">
        <v>4.7</v>
      </c>
      <c r="L29" s="48"/>
      <c r="M29" s="52" t="n">
        <f aca="false">G29-H29</f>
        <v>13</v>
      </c>
      <c r="N29" s="53" t="n">
        <f aca="false">G29*I29</f>
        <v>1540</v>
      </c>
      <c r="O29" s="53" t="n">
        <f aca="false">IF(ISBLANK(J29),"",N29-J29)</f>
        <v>1540</v>
      </c>
      <c r="P29" s="54" t="n">
        <f aca="false">IF(G29=0,"",M29/G29)</f>
        <v>0.928571428571429</v>
      </c>
      <c r="Q29" s="55" t="str">
        <f aca="false">IF(ISBLANK(J29),"Refund missing - net revenue not calculated - needs review","")</f>
        <v/>
      </c>
    </row>
    <row r="30" customFormat="false" ht="15" hidden="false" customHeight="true" outlineLevel="0" collapsed="false">
      <c r="A30" s="48" t="s">
        <v>89</v>
      </c>
      <c r="B30" s="49" t="n">
        <v>46198.5</v>
      </c>
      <c r="C30" s="48" t="s">
        <v>38</v>
      </c>
      <c r="D30" s="48" t="s">
        <v>39</v>
      </c>
      <c r="E30" s="48" t="s">
        <v>40</v>
      </c>
      <c r="F30" s="48" t="n">
        <v>24</v>
      </c>
      <c r="G30" s="48" t="n">
        <v>21</v>
      </c>
      <c r="H30" s="48" t="n">
        <v>1</v>
      </c>
      <c r="I30" s="50" t="n">
        <v>85</v>
      </c>
      <c r="J30" s="50" t="n">
        <v>0</v>
      </c>
      <c r="K30" s="51" t="n">
        <v>4.6</v>
      </c>
      <c r="L30" s="48"/>
      <c r="M30" s="52" t="n">
        <f aca="false">G30-H30</f>
        <v>20</v>
      </c>
      <c r="N30" s="53" t="n">
        <f aca="false">G30*I30</f>
        <v>1785</v>
      </c>
      <c r="O30" s="53" t="n">
        <f aca="false">IF(ISBLANK(J30),"",N30-J30)</f>
        <v>1785</v>
      </c>
      <c r="P30" s="54" t="n">
        <f aca="false">IF(G30=0,"",M30/G30)</f>
        <v>0.952380952380952</v>
      </c>
      <c r="Q30" s="55" t="str">
        <f aca="false">IF(ISBLANK(J30),"Refund missing - net revenue not calculated - needs review","")</f>
        <v/>
      </c>
    </row>
    <row r="31" customFormat="false" ht="15" hidden="false" customHeight="true" outlineLevel="0" collapsed="false">
      <c r="A31" s="48" t="s">
        <v>90</v>
      </c>
      <c r="B31" s="49" t="n">
        <v>46199.5</v>
      </c>
      <c r="C31" s="48" t="s">
        <v>43</v>
      </c>
      <c r="D31" s="48" t="s">
        <v>44</v>
      </c>
      <c r="E31" s="48" t="s">
        <v>56</v>
      </c>
      <c r="F31" s="48" t="n">
        <v>18</v>
      </c>
      <c r="G31" s="48" t="n">
        <v>14</v>
      </c>
      <c r="H31" s="48" t="n">
        <v>2</v>
      </c>
      <c r="I31" s="50" t="n">
        <v>80</v>
      </c>
      <c r="J31" s="50" t="n">
        <v>0</v>
      </c>
      <c r="K31" s="51" t="n">
        <v>4.1</v>
      </c>
      <c r="L31" s="48"/>
      <c r="M31" s="52" t="n">
        <f aca="false">G31-H31</f>
        <v>12</v>
      </c>
      <c r="N31" s="53" t="n">
        <f aca="false">G31*I31</f>
        <v>1120</v>
      </c>
      <c r="O31" s="53" t="n">
        <f aca="false">IF(ISBLANK(J31),"",N31-J31)</f>
        <v>1120</v>
      </c>
      <c r="P31" s="54" t="n">
        <f aca="false">IF(G31=0,"",M31/G31)</f>
        <v>0.857142857142857</v>
      </c>
      <c r="Q31" s="55" t="str">
        <f aca="false">IF(ISBLANK(J31),"Refund missing - net revenue not calculated - needs review","")</f>
        <v/>
      </c>
    </row>
    <row r="32" customFormat="false" ht="15" hidden="false" customHeight="true" outlineLevel="0" collapsed="false">
      <c r="A32" s="48" t="s">
        <v>91</v>
      </c>
      <c r="B32" s="49" t="n">
        <v>46200.5</v>
      </c>
      <c r="C32" s="48" t="s">
        <v>47</v>
      </c>
      <c r="D32" s="48" t="s">
        <v>39</v>
      </c>
      <c r="E32" s="48" t="s">
        <v>40</v>
      </c>
      <c r="F32" s="48" t="n">
        <v>24</v>
      </c>
      <c r="G32" s="48" t="n">
        <v>21</v>
      </c>
      <c r="H32" s="48" t="n">
        <v>3</v>
      </c>
      <c r="I32" s="50" t="n">
        <v>95</v>
      </c>
      <c r="J32" s="50" t="n">
        <v>0</v>
      </c>
      <c r="K32" s="51" t="n">
        <v>4.5</v>
      </c>
      <c r="L32" s="48"/>
      <c r="M32" s="52" t="n">
        <f aca="false">G32-H32</f>
        <v>18</v>
      </c>
      <c r="N32" s="53" t="n">
        <f aca="false">G32*I32</f>
        <v>1995</v>
      </c>
      <c r="O32" s="53" t="n">
        <f aca="false">IF(ISBLANK(J32),"",N32-J32)</f>
        <v>1995</v>
      </c>
      <c r="P32" s="54" t="n">
        <f aca="false">IF(G32=0,"",M32/G32)</f>
        <v>0.857142857142857</v>
      </c>
      <c r="Q32" s="55" t="str">
        <f aca="false">IF(ISBLANK(J32),"Refund missing - net revenue not calculated - needs review","")</f>
        <v/>
      </c>
    </row>
    <row r="33" customFormat="false" ht="15" hidden="false" customHeight="true" outlineLevel="0" collapsed="false">
      <c r="A33" s="48" t="s">
        <v>92</v>
      </c>
      <c r="B33" s="49" t="n">
        <v>46203.5</v>
      </c>
      <c r="C33" s="48" t="s">
        <v>50</v>
      </c>
      <c r="D33" s="48" t="s">
        <v>44</v>
      </c>
      <c r="E33" s="48" t="s">
        <v>51</v>
      </c>
      <c r="F33" s="48" t="n">
        <v>16</v>
      </c>
      <c r="G33" s="48" t="n">
        <v>16</v>
      </c>
      <c r="H33" s="48" t="n">
        <v>1</v>
      </c>
      <c r="I33" s="50" t="n">
        <v>110</v>
      </c>
      <c r="J33" s="50" t="n">
        <v>110</v>
      </c>
      <c r="K33" s="51" t="n">
        <v>4.8</v>
      </c>
      <c r="L33" s="48" t="s">
        <v>93</v>
      </c>
      <c r="M33" s="52" t="n">
        <f aca="false">G33-H33</f>
        <v>15</v>
      </c>
      <c r="N33" s="53" t="n">
        <f aca="false">G33*I33</f>
        <v>1760</v>
      </c>
      <c r="O33" s="53" t="n">
        <f aca="false">IF(ISBLANK(J33),"",N33-J33)</f>
        <v>1650</v>
      </c>
      <c r="P33" s="54" t="n">
        <f aca="false">IF(G33=0,"",M33/G33)</f>
        <v>0.9375</v>
      </c>
      <c r="Q33" s="55" t="str">
        <f aca="false">IF(ISBLANK(J33),"Refund missing - net revenue not calculated - needs review","")</f>
        <v/>
      </c>
    </row>
  </sheetData>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32"/>
    <col collapsed="false" customWidth="true" hidden="false" outlineLevel="0" max="4" min="4" style="1" width="42"/>
    <col collapsed="false" customWidth="true" hidden="false" outlineLevel="0" max="5" min="5" style="1" width="38"/>
    <col collapsed="false" customWidth="true" hidden="false" outlineLevel="0" max="6" min="6" style="1" width="18"/>
  </cols>
  <sheetData>
    <row r="1" customFormat="false" ht="17.25" hidden="false" customHeight="true" outlineLevel="0" collapsed="false">
      <c r="A1" s="45" t="s">
        <v>98</v>
      </c>
    </row>
    <row r="3" customFormat="false" ht="15" hidden="false" customHeight="true" outlineLevel="0" collapsed="false">
      <c r="A3" s="56" t="s">
        <v>99</v>
      </c>
      <c r="B3" s="48" t="n">
        <v>29</v>
      </c>
    </row>
    <row r="4" customFormat="false" ht="15" hidden="false" customHeight="true" outlineLevel="0" collapsed="false">
      <c r="A4" s="56" t="s">
        <v>100</v>
      </c>
      <c r="B4" s="48" t="n">
        <v>28</v>
      </c>
    </row>
    <row r="5" customFormat="false" ht="15" hidden="false" customHeight="true" outlineLevel="0" collapsed="false">
      <c r="A5" s="56" t="s">
        <v>101</v>
      </c>
      <c r="B5" s="48" t="n">
        <v>1</v>
      </c>
    </row>
    <row r="6" customFormat="false" ht="15" hidden="false" customHeight="true" outlineLevel="0" collapsed="false">
      <c r="A6" s="56" t="s">
        <v>102</v>
      </c>
      <c r="B6" s="48" t="n">
        <v>3</v>
      </c>
    </row>
    <row r="8" customFormat="false" ht="26.25" hidden="false" customHeight="true" outlineLevel="0" collapsed="false">
      <c r="A8" s="57" t="s">
        <v>25</v>
      </c>
      <c r="B8" s="57" t="s">
        <v>103</v>
      </c>
      <c r="C8" s="57" t="s">
        <v>104</v>
      </c>
      <c r="D8" s="57" t="s">
        <v>105</v>
      </c>
      <c r="E8" s="57" t="s">
        <v>106</v>
      </c>
      <c r="F8" s="57" t="s">
        <v>107</v>
      </c>
    </row>
    <row r="9" customFormat="false" ht="15" hidden="false" customHeight="true" outlineLevel="0" collapsed="false">
      <c r="A9" s="58" t="s">
        <v>53</v>
      </c>
      <c r="B9" s="58" t="s">
        <v>27</v>
      </c>
      <c r="C9" s="58" t="s">
        <v>108</v>
      </c>
      <c r="D9" s="58" t="s">
        <v>109</v>
      </c>
      <c r="E9" s="58" t="s">
        <v>110</v>
      </c>
      <c r="F9" s="58" t="s">
        <v>111</v>
      </c>
    </row>
    <row r="10" customFormat="false" ht="15" hidden="false" customHeight="true" outlineLevel="0" collapsed="false">
      <c r="A10" s="58" t="s">
        <v>53</v>
      </c>
      <c r="B10" s="58" t="s">
        <v>28</v>
      </c>
      <c r="C10" s="58" t="s">
        <v>112</v>
      </c>
      <c r="D10" s="58" t="s">
        <v>113</v>
      </c>
      <c r="E10" s="58" t="s">
        <v>114</v>
      </c>
      <c r="F10" s="58" t="s">
        <v>111</v>
      </c>
    </row>
    <row r="11" customFormat="false" ht="15" hidden="false" customHeight="true" outlineLevel="0" collapsed="false">
      <c r="A11" s="58" t="s">
        <v>57</v>
      </c>
      <c r="B11" s="58" t="s">
        <v>29</v>
      </c>
      <c r="C11" s="58" t="s">
        <v>115</v>
      </c>
      <c r="D11" s="58" t="s">
        <v>116</v>
      </c>
      <c r="E11" s="58" t="s">
        <v>117</v>
      </c>
      <c r="F11" s="58" t="s">
        <v>111</v>
      </c>
    </row>
    <row r="12" customFormat="false" ht="26.25" hidden="false" customHeight="true" outlineLevel="0" collapsed="false">
      <c r="A12" s="58" t="s">
        <v>57</v>
      </c>
      <c r="B12" s="58" t="s">
        <v>35</v>
      </c>
      <c r="C12" s="58" t="s">
        <v>118</v>
      </c>
      <c r="D12" s="58" t="s">
        <v>119</v>
      </c>
      <c r="E12" s="58" t="s">
        <v>120</v>
      </c>
      <c r="F12" s="58" t="s">
        <v>111</v>
      </c>
    </row>
    <row r="13" customFormat="false" ht="26.25" hidden="false" customHeight="true" outlineLevel="0" collapsed="false">
      <c r="A13" s="58" t="s">
        <v>60</v>
      </c>
      <c r="B13" s="58" t="s">
        <v>34</v>
      </c>
      <c r="C13" s="58" t="s">
        <v>121</v>
      </c>
      <c r="D13" s="58" t="s">
        <v>122</v>
      </c>
      <c r="E13" s="58" t="s">
        <v>123</v>
      </c>
      <c r="F13" s="59" t="s">
        <v>124</v>
      </c>
    </row>
    <row r="14" customFormat="false" ht="15" hidden="false" customHeight="true" outlineLevel="0" collapsed="false">
      <c r="A14" s="58" t="s">
        <v>65</v>
      </c>
      <c r="B14" s="58" t="s">
        <v>27</v>
      </c>
      <c r="C14" s="58" t="s">
        <v>125</v>
      </c>
      <c r="D14" s="58" t="s">
        <v>109</v>
      </c>
      <c r="E14" s="58" t="s">
        <v>126</v>
      </c>
      <c r="F14" s="58" t="s">
        <v>111</v>
      </c>
    </row>
    <row r="15" customFormat="false" ht="26.25" hidden="false" customHeight="true" outlineLevel="0" collapsed="false">
      <c r="A15" s="58" t="s">
        <v>67</v>
      </c>
      <c r="B15" s="58" t="s">
        <v>35</v>
      </c>
      <c r="C15" s="58" t="s">
        <v>121</v>
      </c>
      <c r="D15" s="58" t="s">
        <v>127</v>
      </c>
      <c r="E15" s="58" t="s">
        <v>123</v>
      </c>
      <c r="F15" s="59" t="s">
        <v>124</v>
      </c>
    </row>
    <row r="16" customFormat="false" ht="15" hidden="false" customHeight="true" outlineLevel="0" collapsed="false">
      <c r="A16" s="58" t="s">
        <v>72</v>
      </c>
      <c r="B16" s="58" t="s">
        <v>128</v>
      </c>
      <c r="C16" s="58" t="s">
        <v>129</v>
      </c>
      <c r="D16" s="58" t="s">
        <v>130</v>
      </c>
      <c r="E16" s="58" t="s">
        <v>131</v>
      </c>
      <c r="F16" s="58" t="s">
        <v>111</v>
      </c>
    </row>
    <row r="17" customFormat="false" ht="15" hidden="false" customHeight="true" outlineLevel="0" collapsed="false">
      <c r="A17" s="58" t="s">
        <v>74</v>
      </c>
      <c r="B17" s="58" t="s">
        <v>27</v>
      </c>
      <c r="C17" s="58" t="s">
        <v>132</v>
      </c>
      <c r="D17" s="58" t="s">
        <v>133</v>
      </c>
      <c r="E17" s="58" t="s">
        <v>134</v>
      </c>
      <c r="F17" s="58" t="s">
        <v>111</v>
      </c>
    </row>
    <row r="18" customFormat="false" ht="15" hidden="false" customHeight="true" outlineLevel="0" collapsed="false">
      <c r="A18" s="58" t="s">
        <v>79</v>
      </c>
      <c r="B18" s="58" t="s">
        <v>135</v>
      </c>
      <c r="C18" s="58" t="s">
        <v>136</v>
      </c>
      <c r="D18" s="58" t="s">
        <v>80</v>
      </c>
      <c r="E18" s="58" t="s">
        <v>137</v>
      </c>
      <c r="F18" s="59" t="s">
        <v>124</v>
      </c>
    </row>
    <row r="19" customFormat="false" ht="15" hidden="false" customHeight="true" outlineLevel="0" collapsed="false">
      <c r="A19" s="58" t="s">
        <v>81</v>
      </c>
      <c r="B19" s="58" t="s">
        <v>28</v>
      </c>
      <c r="C19" s="58" t="s">
        <v>138</v>
      </c>
      <c r="D19" s="58" t="s">
        <v>113</v>
      </c>
      <c r="E19" s="58" t="s">
        <v>139</v>
      </c>
      <c r="F19" s="58" t="s">
        <v>111</v>
      </c>
    </row>
    <row r="20" customFormat="false" ht="15" hidden="false" customHeight="true" outlineLevel="0" collapsed="false">
      <c r="A20" s="58" t="s">
        <v>81</v>
      </c>
      <c r="B20" s="58" t="s">
        <v>26</v>
      </c>
      <c r="C20" s="58" t="s">
        <v>140</v>
      </c>
      <c r="D20" s="58" t="s">
        <v>141</v>
      </c>
      <c r="E20" s="58" t="s">
        <v>142</v>
      </c>
      <c r="F20" s="58"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4" min="3" style="0" width="14"/>
    <col collapsed="false" customWidth="true" hidden="false" outlineLevel="0" max="6" min="5" style="0" width="15"/>
    <col collapsed="false" customWidth="true" hidden="false" outlineLevel="0" max="7" min="7" style="0" width="16"/>
    <col collapsed="false" customWidth="true" hidden="false" outlineLevel="0" max="8" min="8" style="0" width="18"/>
    <col collapsed="false" customWidth="true" hidden="false" outlineLevel="0" max="9" min="9" style="0" width="20"/>
  </cols>
  <sheetData>
    <row r="1" customFormat="false" ht="17.35" hidden="false" customHeight="false" outlineLevel="0" collapsed="false">
      <c r="A1" s="60" t="s">
        <v>143</v>
      </c>
    </row>
    <row r="2" customFormat="false" ht="27.75" hidden="false" customHeight="true" outlineLevel="0" collapsed="false">
      <c r="A2" s="46" t="s">
        <v>144</v>
      </c>
      <c r="B2" s="46"/>
      <c r="C2" s="46"/>
      <c r="D2" s="46"/>
      <c r="E2" s="46"/>
      <c r="F2" s="46"/>
      <c r="G2" s="46"/>
      <c r="H2" s="46"/>
      <c r="I2" s="46"/>
    </row>
    <row r="4" customFormat="false" ht="15" hidden="false" customHeight="false" outlineLevel="0" collapsed="false">
      <c r="A4" s="61" t="s">
        <v>145</v>
      </c>
    </row>
    <row r="5" customFormat="false" ht="39.55" hidden="false" customHeight="false" outlineLevel="0" collapsed="false">
      <c r="A5" s="62" t="s">
        <v>27</v>
      </c>
      <c r="B5" s="47" t="s">
        <v>146</v>
      </c>
      <c r="C5" s="47" t="s">
        <v>147</v>
      </c>
      <c r="D5" s="47" t="s">
        <v>148</v>
      </c>
      <c r="E5" s="47" t="s">
        <v>16</v>
      </c>
      <c r="F5" s="47" t="s">
        <v>149</v>
      </c>
      <c r="G5" s="47" t="s">
        <v>150</v>
      </c>
      <c r="H5" s="47" t="s">
        <v>151</v>
      </c>
      <c r="I5" s="47" t="s">
        <v>152</v>
      </c>
    </row>
    <row r="6" customFormat="false" ht="15" hidden="false" customHeight="false" outlineLevel="0" collapsed="false">
      <c r="A6" s="63" t="s">
        <v>38</v>
      </c>
      <c r="B6" s="52" t="n">
        <f aca="false">COUNTIF('Cleaned Sessions'!C$6:C$33,$A6)</f>
        <v>7</v>
      </c>
      <c r="C6" s="52" t="n">
        <f aca="false">SUMIF('Cleaned Sessions'!C$6:C$33,$A6,'Cleaned Sessions'!$G$6:$G$33)</f>
        <v>147</v>
      </c>
      <c r="D6" s="52" t="n">
        <f aca="false">SUMIF('Cleaned Sessions'!C$6:C$33,$A6,'Cleaned Sessions'!$M$6:$M$33)</f>
        <v>138</v>
      </c>
      <c r="E6" s="54" t="n">
        <f aca="false">IFERROR(D6/C6,"")</f>
        <v>0.938775510204082</v>
      </c>
      <c r="F6" s="52" t="n">
        <f aca="false">SUMPRODUCT(('Cleaned Sessions'!C$6:C$33=$A6)*(ISNUMBER('Cleaned Sessions'!$O$6:$O$33)))</f>
        <v>7</v>
      </c>
      <c r="G6" s="53" t="n">
        <f aca="false">SUMIF('Cleaned Sessions'!C$6:C$33,$A6,'Cleaned Sessions'!$O$6:$O$33)</f>
        <v>12790</v>
      </c>
      <c r="H6" s="53" t="n">
        <f aca="false">IFERROR(G6/F6,"")</f>
        <v>1827.14285714286</v>
      </c>
      <c r="I6" s="64" t="n">
        <f aca="false">AVERAGEIFS('Cleaned Sessions'!$K$6:$K$33,'Cleaned Sessions'!C$6:C$33,$A6)</f>
        <v>4.68571428571429</v>
      </c>
    </row>
    <row r="7" customFormat="false" ht="15" hidden="false" customHeight="false" outlineLevel="0" collapsed="false">
      <c r="A7" s="63" t="s">
        <v>43</v>
      </c>
      <c r="B7" s="52" t="n">
        <f aca="false">COUNTIF('Cleaned Sessions'!C$6:C$33,$A7)</f>
        <v>7</v>
      </c>
      <c r="C7" s="52" t="n">
        <f aca="false">SUMIF('Cleaned Sessions'!C$6:C$33,$A7,'Cleaned Sessions'!$G$6:$G$33)</f>
        <v>140</v>
      </c>
      <c r="D7" s="52" t="n">
        <f aca="false">SUMIF('Cleaned Sessions'!C$6:C$33,$A7,'Cleaned Sessions'!$M$6:$M$33)</f>
        <v>121</v>
      </c>
      <c r="E7" s="54" t="n">
        <f aca="false">IFERROR(D7/C7,"")</f>
        <v>0.864285714285714</v>
      </c>
      <c r="F7" s="52" t="n">
        <f aca="false">SUMPRODUCT(('Cleaned Sessions'!C$6:C$33=$A7)*(ISNUMBER('Cleaned Sessions'!$O$6:$O$33)))</f>
        <v>7</v>
      </c>
      <c r="G7" s="53" t="n">
        <f aca="false">SUMIF('Cleaned Sessions'!C$6:C$33,$A7,'Cleaned Sessions'!$O$6:$O$33)</f>
        <v>9675</v>
      </c>
      <c r="H7" s="53" t="n">
        <f aca="false">IFERROR(G7/F7,"")</f>
        <v>1382.14285714286</v>
      </c>
      <c r="I7" s="64" t="n">
        <f aca="false">AVERAGEIFS('Cleaned Sessions'!$K$6:$K$33,'Cleaned Sessions'!C$6:C$33,$A7)</f>
        <v>4.2</v>
      </c>
    </row>
    <row r="8" customFormat="false" ht="15" hidden="false" customHeight="false" outlineLevel="0" collapsed="false">
      <c r="A8" s="63" t="s">
        <v>50</v>
      </c>
      <c r="B8" s="52" t="n">
        <f aca="false">COUNTIF('Cleaned Sessions'!C$6:C$33,$A8)</f>
        <v>7</v>
      </c>
      <c r="C8" s="52" t="n">
        <f aca="false">SUMIF('Cleaned Sessions'!C$6:C$33,$A8,'Cleaned Sessions'!$G$6:$G$33)</f>
        <v>109</v>
      </c>
      <c r="D8" s="52" t="n">
        <f aca="false">SUMIF('Cleaned Sessions'!C$6:C$33,$A8,'Cleaned Sessions'!$M$6:$M$33)</f>
        <v>98</v>
      </c>
      <c r="E8" s="54" t="n">
        <f aca="false">IFERROR(D8/C8,"")</f>
        <v>0.89908256880734</v>
      </c>
      <c r="F8" s="52" t="n">
        <f aca="false">SUMPRODUCT(('Cleaned Sessions'!C$6:C$33=$A8)*(ISNUMBER('Cleaned Sessions'!$O$6:$O$33)))</f>
        <v>7</v>
      </c>
      <c r="G8" s="53" t="n">
        <f aca="false">SUMIF('Cleaned Sessions'!C$6:C$33,$A8,'Cleaned Sessions'!$O$6:$O$33)</f>
        <v>10770</v>
      </c>
      <c r="H8" s="53" t="n">
        <f aca="false">IFERROR(G8/F8,"")</f>
        <v>1538.57142857143</v>
      </c>
      <c r="I8" s="64" t="n">
        <f aca="false">AVERAGEIFS('Cleaned Sessions'!$K$6:$K$33,'Cleaned Sessions'!C$6:C$33,$A8)</f>
        <v>4.58571428571429</v>
      </c>
    </row>
    <row r="9" customFormat="false" ht="15" hidden="false" customHeight="false" outlineLevel="0" collapsed="false">
      <c r="A9" s="63" t="s">
        <v>47</v>
      </c>
      <c r="B9" s="52" t="n">
        <f aca="false">COUNTIF('Cleaned Sessions'!C$6:C$33,$A9)</f>
        <v>7</v>
      </c>
      <c r="C9" s="52" t="n">
        <f aca="false">SUMIF('Cleaned Sessions'!C$6:C$33,$A9,'Cleaned Sessions'!$G$6:$G$33)</f>
        <v>134</v>
      </c>
      <c r="D9" s="52" t="n">
        <f aca="false">SUMIF('Cleaned Sessions'!C$6:C$33,$A9,'Cleaned Sessions'!$M$6:$M$33)</f>
        <v>119</v>
      </c>
      <c r="E9" s="54" t="n">
        <f aca="false">IFERROR(D9/C9,"")</f>
        <v>0.888059701492537</v>
      </c>
      <c r="F9" s="52" t="n">
        <f aca="false">SUMPRODUCT(('Cleaned Sessions'!C$6:C$33=$A9)*(ISNUMBER('Cleaned Sessions'!$O$6:$O$33)))</f>
        <v>6</v>
      </c>
      <c r="G9" s="53" t="n">
        <f aca="false">SUMIF('Cleaned Sessions'!C$6:C$33,$A9,'Cleaned Sessions'!$O$6:$O$33)</f>
        <v>11805</v>
      </c>
      <c r="H9" s="53" t="n">
        <f aca="false">IFERROR(G9/F9,"")</f>
        <v>1967.5</v>
      </c>
      <c r="I9" s="64" t="n">
        <f aca="false">AVERAGEIFS('Cleaned Sessions'!$K$6:$K$33,'Cleaned Sessions'!C$6:C$33,$A9)</f>
        <v>4.4</v>
      </c>
    </row>
    <row r="10" customFormat="false" ht="15" hidden="false" customHeight="false" outlineLevel="0" collapsed="false">
      <c r="A10" s="61" t="s">
        <v>153</v>
      </c>
    </row>
    <row r="11" customFormat="false" ht="39.55" hidden="false" customHeight="false" outlineLevel="0" collapsed="false">
      <c r="A11" s="62" t="s">
        <v>28</v>
      </c>
      <c r="B11" s="47" t="s">
        <v>146</v>
      </c>
      <c r="C11" s="47" t="s">
        <v>147</v>
      </c>
      <c r="D11" s="47" t="s">
        <v>148</v>
      </c>
      <c r="E11" s="47" t="s">
        <v>16</v>
      </c>
      <c r="F11" s="47" t="s">
        <v>149</v>
      </c>
      <c r="G11" s="47" t="s">
        <v>150</v>
      </c>
      <c r="H11" s="47" t="s">
        <v>151</v>
      </c>
      <c r="I11" s="47" t="s">
        <v>152</v>
      </c>
    </row>
    <row r="12" customFormat="false" ht="15" hidden="false" customHeight="false" outlineLevel="0" collapsed="false">
      <c r="A12" s="63" t="s">
        <v>39</v>
      </c>
      <c r="B12" s="52" t="n">
        <f aca="false">COUNTIF('Cleaned Sessions'!D$6:D$33,$A12)</f>
        <v>14</v>
      </c>
      <c r="C12" s="52" t="n">
        <f aca="false">SUMIF('Cleaned Sessions'!D$6:D$33,$A12,'Cleaned Sessions'!$G$6:$G$33)</f>
        <v>297</v>
      </c>
      <c r="D12" s="52" t="n">
        <f aca="false">SUMIF('Cleaned Sessions'!D$6:D$33,$A12,'Cleaned Sessions'!$M$6:$M$33)</f>
        <v>259</v>
      </c>
      <c r="E12" s="54" t="n">
        <f aca="false">IFERROR(D12/C12,"")</f>
        <v>0.872053872053872</v>
      </c>
      <c r="F12" s="52" t="n">
        <f aca="false">SUMPRODUCT(('Cleaned Sessions'!D$6:D$33=$A12)*(ISNUMBER('Cleaned Sessions'!$O$6:$O$33)))</f>
        <v>14</v>
      </c>
      <c r="G12" s="53" t="n">
        <f aca="false">SUMIF('Cleaned Sessions'!D$6:D$33,$A12,'Cleaned Sessions'!$O$6:$O$33)</f>
        <v>24065</v>
      </c>
      <c r="H12" s="53" t="n">
        <f aca="false">IFERROR(G12/F12,"")</f>
        <v>1718.92857142857</v>
      </c>
      <c r="I12" s="64" t="n">
        <f aca="false">AVERAGEIFS('Cleaned Sessions'!$K$6:$K$33,'Cleaned Sessions'!D$6:D$33,$A12)</f>
        <v>4.35384615384615</v>
      </c>
    </row>
    <row r="13" customFormat="false" ht="15" hidden="false" customHeight="false" outlineLevel="0" collapsed="false">
      <c r="A13" s="63" t="s">
        <v>44</v>
      </c>
      <c r="B13" s="52" t="n">
        <f aca="false">COUNTIF('Cleaned Sessions'!D$6:D$33,$A13)</f>
        <v>14</v>
      </c>
      <c r="C13" s="52" t="n">
        <f aca="false">SUMIF('Cleaned Sessions'!D$6:D$33,$A13,'Cleaned Sessions'!$G$6:$G$33)</f>
        <v>233</v>
      </c>
      <c r="D13" s="52" t="n">
        <f aca="false">SUMIF('Cleaned Sessions'!D$6:D$33,$A13,'Cleaned Sessions'!$M$6:$M$33)</f>
        <v>217</v>
      </c>
      <c r="E13" s="54" t="n">
        <f aca="false">IFERROR(D13/C13,"")</f>
        <v>0.931330472103004</v>
      </c>
      <c r="F13" s="52" t="n">
        <f aca="false">SUMPRODUCT(('Cleaned Sessions'!D$6:D$33=$A13)*(ISNUMBER('Cleaned Sessions'!$O$6:$O$33)))</f>
        <v>13</v>
      </c>
      <c r="G13" s="53" t="n">
        <f aca="false">SUMIF('Cleaned Sessions'!D$6:D$33,$A13,'Cleaned Sessions'!$O$6:$O$33)</f>
        <v>20975</v>
      </c>
      <c r="H13" s="53" t="n">
        <f aca="false">IFERROR(G13/F13,"")</f>
        <v>1613.46153846154</v>
      </c>
      <c r="I13" s="64" t="n">
        <f aca="false">AVERAGEIFS('Cleaned Sessions'!$K$6:$K$33,'Cleaned Sessions'!D$6:D$33,$A13)</f>
        <v>4.57857142857143</v>
      </c>
    </row>
    <row r="15" customFormat="false" ht="27.75" hidden="false" customHeight="true" outlineLevel="0" collapsed="false">
      <c r="A15" s="46" t="s">
        <v>154</v>
      </c>
      <c r="B15" s="46"/>
      <c r="C15" s="46"/>
      <c r="D15" s="46"/>
    </row>
    <row r="16" customFormat="false" ht="15" hidden="false" customHeight="false" outlineLevel="0" collapsed="false">
      <c r="A16" s="63" t="s">
        <v>27</v>
      </c>
      <c r="B16" s="63" t="s">
        <v>151</v>
      </c>
    </row>
    <row r="17" customFormat="false" ht="15" hidden="false" customHeight="false" outlineLevel="0" collapsed="false">
      <c r="A17" s="52" t="s">
        <v>47</v>
      </c>
      <c r="B17" s="53" t="n">
        <f aca="false">H9</f>
        <v>1967.5</v>
      </c>
    </row>
    <row r="18" customFormat="false" ht="15" hidden="false" customHeight="false" outlineLevel="0" collapsed="false">
      <c r="A18" s="52" t="s">
        <v>38</v>
      </c>
      <c r="B18" s="53" t="n">
        <f aca="false">H6</f>
        <v>1827.14285714286</v>
      </c>
    </row>
    <row r="19" customFormat="false" ht="15" hidden="false" customHeight="false" outlineLevel="0" collapsed="false">
      <c r="A19" s="52" t="s">
        <v>50</v>
      </c>
      <c r="B19" s="53" t="n">
        <f aca="false">H8</f>
        <v>1538.57142857143</v>
      </c>
    </row>
    <row r="20" customFormat="false" ht="15" hidden="false" customHeight="false" outlineLevel="0" collapsed="false">
      <c r="A20" s="52" t="s">
        <v>43</v>
      </c>
      <c r="B20" s="53" t="n">
        <f aca="false">H7</f>
        <v>1382.14285714286</v>
      </c>
    </row>
    <row r="42" customFormat="false" ht="15" hidden="false" customHeight="false" outlineLevel="0" collapsed="false">
      <c r="A42" s="61" t="s">
        <v>155</v>
      </c>
    </row>
    <row r="43" customFormat="false" ht="45" hidden="false" customHeight="true" outlineLevel="0" collapsed="false">
      <c r="A43" s="63" t="s">
        <v>156</v>
      </c>
      <c r="B43" s="65" t="s">
        <v>157</v>
      </c>
      <c r="C43" s="65"/>
      <c r="D43" s="65"/>
      <c r="E43" s="65"/>
      <c r="F43" s="65"/>
      <c r="G43" s="65"/>
      <c r="H43" s="65"/>
      <c r="I43" s="65"/>
    </row>
    <row r="44" customFormat="false" ht="45" hidden="false" customHeight="true" outlineLevel="0" collapsed="false">
      <c r="A44" s="63" t="s">
        <v>158</v>
      </c>
      <c r="B44" s="65" t="s">
        <v>159</v>
      </c>
      <c r="C44" s="65"/>
      <c r="D44" s="65"/>
      <c r="E44" s="65"/>
      <c r="F44" s="65"/>
      <c r="G44" s="65"/>
      <c r="H44" s="65"/>
      <c r="I44" s="65"/>
    </row>
    <row r="45" customFormat="false" ht="45" hidden="false" customHeight="true" outlineLevel="0" collapsed="false">
      <c r="A45" s="63" t="s">
        <v>156</v>
      </c>
      <c r="B45" s="65" t="s">
        <v>160</v>
      </c>
      <c r="C45" s="65"/>
      <c r="D45" s="65"/>
      <c r="E45" s="65"/>
      <c r="F45" s="65"/>
      <c r="G45" s="65"/>
      <c r="H45" s="65"/>
      <c r="I45" s="65"/>
    </row>
    <row r="46" customFormat="false" ht="45" hidden="false" customHeight="true" outlineLevel="0" collapsed="false">
      <c r="A46" s="63" t="s">
        <v>158</v>
      </c>
      <c r="B46" s="65" t="s">
        <v>161</v>
      </c>
      <c r="C46" s="65"/>
      <c r="D46" s="65"/>
      <c r="E46" s="65"/>
      <c r="F46" s="65"/>
      <c r="G46" s="65"/>
      <c r="H46" s="65"/>
      <c r="I46" s="65"/>
    </row>
    <row r="47" customFormat="false" ht="45" hidden="false" customHeight="true" outlineLevel="0" collapsed="false">
      <c r="A47" s="63" t="s">
        <v>156</v>
      </c>
      <c r="B47" s="65" t="s">
        <v>162</v>
      </c>
      <c r="C47" s="65"/>
      <c r="D47" s="65"/>
      <c r="E47" s="65"/>
      <c r="F47" s="65"/>
      <c r="G47" s="65"/>
      <c r="H47" s="65"/>
      <c r="I47" s="65"/>
    </row>
    <row r="48" customFormat="false" ht="45" hidden="false" customHeight="true" outlineLevel="0" collapsed="false">
      <c r="A48" s="63" t="s">
        <v>163</v>
      </c>
      <c r="B48" s="65" t="s">
        <v>164</v>
      </c>
      <c r="C48" s="65"/>
      <c r="D48" s="65"/>
      <c r="E48" s="65"/>
      <c r="F48" s="65"/>
      <c r="G48" s="65"/>
      <c r="H48" s="65"/>
      <c r="I48" s="65"/>
    </row>
  </sheetData>
  <mergeCells count="8">
    <mergeCell ref="A2:I2"/>
    <mergeCell ref="A15:D15"/>
    <mergeCell ref="B43:I43"/>
    <mergeCell ref="B44:I44"/>
    <mergeCell ref="B45:I45"/>
    <mergeCell ref="B46:I46"/>
    <mergeCell ref="B47:I47"/>
    <mergeCell ref="B48: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2026-08-13T07:20:56Z</dcterms:created>
  <dc:creator>openpyxl</dc:creator>
  <dc:description/>
  <dc:language>en-US</dc:language>
  <cp:lastModifiedBy/>
  <dcterms:modified xsi:type="dcterms:W3CDTF">2026-08-13T07:31:32Z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