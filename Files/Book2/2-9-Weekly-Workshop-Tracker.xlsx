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f1a7b180ba94b57" /></Relationships>
</file>

<file path=xl/workbook.xml><?xml version="1.0" encoding="utf-8"?>
<x:workbook xmlns:x="http://schemas.openxmlformats.org/spreadsheetml/2006/main">
  <x:sheets>
    <x:sheet xmlns:r="http://schemas.openxmlformats.org/officeDocument/2006/relationships" name="Summary" sheetId="1" r:id="R70ad45dc0578486a"/>
    <x:sheet xmlns:r="http://schemas.openxmlformats.org/officeDocument/2006/relationships" name="Weekly Results" sheetId="2" r:id="Rfaa8875b67e94323"/>
    <x:sheet xmlns:r="http://schemas.openxmlformats.org/officeDocument/2006/relationships" name="Next Week" sheetId="3" r:id="R5c6bb2940bf34f1a"/>
  </x:sheets>
</x:workbook>
</file>

<file path=xl/comments1.xml><?xml version="1.0" encoding="utf-8"?>
<x:comments xmlns:x="http://schemas.openxmlformats.org/spreadsheetml/2006/main">
  <x:authors>
    <x:author>tc={AFD3BFF9-0462-458A-135E-2C9B3D52E729}</x:author>
  </x:authors>
  <x:commentList>
    <x:comment ref="J9" authorId="0">
      <x:text>
        <x:r>
          <x:t>[Threaded comment]
Your version of Excel allows you to read this threaded comment; however, any edits to it will get removed if the file is opened in a newer version of Excel. Learn more: https://go.microsoft.com/fwlink/?linkid=870924
Comment:
    This score is intentionally blank because the survey is still open.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
    <x:numFmt numFmtId="202" formatCode="0.0"/>
    <x:numFmt numFmtId="203" formatCode="mmm d"/>
    <x:numFmt numFmtId="204" formatCode="0"/>
  </x:numFmts>
  <x:fonts count="11">
    <x:font>
      <x:sz val="11"/>
      <x:name val="Carlito"/>
    </x:font>
    <x:font>
      <x:b/>
      <x:sz val="20"/>
      <x:color rgb="FFFFFFFF"/>
      <x:name val="Aptos Display"/>
    </x:font>
    <x:font>
      <x:i/>
      <x:sz val="10"/>
      <x:color rgb="FF5C6570"/>
      <x:name val="Aptos"/>
    </x:font>
    <x:font>
      <x:sz val="11"/>
      <x:name val="Aptos"/>
    </x:font>
    <x:font>
      <x:b/>
      <x:sz val="11"/>
      <x:color rgb="FF1F4D78"/>
      <x:name val="Aptos"/>
    </x:font>
    <x:font>
      <x:b/>
      <x:sz val="15"/>
      <x:color rgb="FF1F4D78"/>
      <x:name val="Aptos Display"/>
    </x:font>
    <x:font>
      <x:sz val="10"/>
      <x:color rgb="FF2B2B2B"/>
      <x:name val="Aptos"/>
    </x:font>
    <x:font>
      <x:b/>
      <x:sz val="10"/>
      <x:color rgb="FFFFFFFF"/>
      <x:name val="Aptos"/>
    </x:font>
    <x:font>
      <x:sz val="10"/>
      <x:name val="Aptos"/>
    </x:font>
    <x:font>
      <x:b/>
      <x:sz val="9"/>
      <x:color rgb="FFFFFFFF"/>
      <x:name val="Aptos"/>
    </x:font>
    <x:font>
      <x:sz val="9"/>
      <x:name val="Aptos"/>
    </x:font>
  </x:fonts>
  <x:fills count="9">
    <x:fill>
      <x:patternFill patternType="none"/>
    </x:fill>
    <x:fill>
      <x:patternFill patternType="gray125"/>
    </x:fill>
    <x:fill>
      <x:patternFill patternType="solid">
        <x:fgColor rgb="FF1F4D78"/>
      </x:patternFill>
    </x:fill>
    <x:fill>
      <x:patternFill patternType="solid">
        <x:fgColor rgb="FFEAF2F8"/>
      </x:patternFill>
    </x:fill>
    <x:fill>
      <x:patternFill patternType="solid">
        <x:fgColor rgb="FFFFFFFF"/>
      </x:patternFill>
    </x:fill>
    <x:fill>
      <x:patternFill patternType="solid">
        <x:fgColor rgb="FFFFF4CE"/>
      </x:patternFill>
    </x:fill>
    <x:fill>
      <x:patternFill patternType="solid">
        <x:fgColor rgb="FFFFFDF4"/>
      </x:patternFill>
    </x:fill>
    <x:fill>
      <x:patternFill patternType="solid">
        <x:fgColor rgb="FF2E74B5"/>
      </x:patternFill>
    </x:fill>
    <x:fill>
      <x:patternFill patternType="solid">
        <x:fgColor rgb="FFF7F8FA"/>
      </x:patternFill>
    </x:fill>
  </x:fills>
  <x:borders count="13">
    <x:border/>
    <x:border>
      <x:left style="thin">
        <x:color rgb="FFD6DCE3"/>
      </x:left>
      <x:top style="thin">
        <x:color rgb="FFD6DCE3"/>
      </x:top>
    </x:border>
    <x:border>
      <x:right style="thin">
        <x:color rgb="FFD6DCE3"/>
      </x:right>
      <x:top style="thin">
        <x:color rgb="FFD6DCE3"/>
      </x:top>
    </x:border>
    <x:border>
      <x:left style="thin">
        <x:color rgb="FFD6DCE3"/>
      </x:left>
    </x:border>
    <x:border>
      <x:right style="thin">
        <x:color rgb="FFD6DCE3"/>
      </x:right>
    </x:border>
    <x:border>
      <x:left style="thin">
        <x:color rgb="FFD6DCE3"/>
      </x:left>
      <x:bottom style="thin">
        <x:color rgb="FFD6DCE3"/>
      </x:bottom>
    </x:border>
    <x:border>
      <x:right style="thin">
        <x:color rgb="FFD6DCE3"/>
      </x:right>
      <x:bottom style="thin">
        <x:color rgb="FFD6DCE3"/>
      </x:bottom>
    </x:border>
    <x:border>
      <x:left style="thin">
        <x:color rgb="FFE4C96B"/>
      </x:left>
      <x:right style="thin">
        <x:color rgb="FFE4C96B"/>
      </x:right>
      <x:top style="thin">
        <x:color rgb="FFE4C96B"/>
      </x:top>
      <x:bottom style="thin">
        <x:color rgb="FFE4C96B"/>
      </x:bottom>
    </x:border>
    <x:border>
      <x:left style="thin">
        <x:color rgb="FFD6DCE3"/>
      </x:left>
      <x:right style="thin">
        <x:color rgb="FFD6DCE3"/>
      </x:right>
      <x:bottom style="thin">
        <x:color rgb="FFD6DCE3"/>
      </x:bottom>
    </x:border>
    <x:border>
      <x:right style="thin">
        <x:color rgb="FFD6DCE3"/>
      </x:right>
      <x:top style="thin">
        <x:color rgb="FFD6DCE3"/>
      </x:top>
      <x:bottom style="thin">
        <x:color rgb="FFD6DCE3"/>
      </x:bottom>
    </x:border>
    <x:border>
      <x:left style="thin">
        <x:color rgb="FFD6DCE3"/>
      </x:left>
      <x:right style="thin">
        <x:color rgb="FFD6DCE3"/>
      </x:right>
      <x:top style="thin">
        <x:color rgb="FFD6DCE3"/>
      </x:top>
      <x:bottom style="thin">
        <x:color rgb="FFD6DCE3"/>
      </x:bottom>
    </x:border>
    <x:border>
      <x:left style="thin">
        <x:color rgb="FFD6DCE3"/>
      </x:left>
      <x:top style="thin">
        <x:color rgb="FFD6DCE3"/>
      </x:top>
      <x:bottom style="thin">
        <x:color rgb="FFD6DCE3"/>
      </x:bottom>
    </x:border>
    <x:border>
      <x:left style="thin">
        <x:color rgb="FFD6DCE3"/>
      </x:left>
      <x:right style="thin">
        <x:color rgb="FFD6DCE3"/>
      </x:right>
      <x:top style="thin">
        <x:color rgb="FFD6DCE3"/>
      </x:top>
    </x:border>
  </x:borders>
  <x:cellStyleXfs count="1">
    <x:xf numFmtId="0" fontId="0" fillId="0" borderId="0"/>
  </x:cellStyleXfs>
  <x:cellXfs count="10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0" borderId="0" xfId="0" applyNumberFormat="1" applyFont="1" applyFill="1" applyBorder="1"/>
    <x:xf numFmtId="0" fontId="3" fillId="0" borderId="1"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3" borderId="1" xfId="0" applyNumberFormat="1" applyFont="1" applyFill="1" applyBorder="1"/>
    <x:xf numFmtId="0" fontId="3" fillId="3" borderId="3" xfId="0" applyNumberFormat="1" applyFont="1" applyFill="1" applyBorder="1"/>
    <x:xf numFmtId="0" fontId="3" fillId="3" borderId="5" xfId="0" applyNumberFormat="1" applyFont="1" applyFill="1" applyBorder="1"/>
    <x:xf numFmtId="0" fontId="4" fillId="3" borderId="1" xfId="0" applyNumberFormat="1" applyFont="1" applyFill="1" applyBorder="1"/>
    <x:xf numFmtId="0" fontId="4" fillId="3" borderId="3" xfId="0" applyNumberFormat="1" applyFont="1" applyFill="1" applyBorder="1"/>
    <x:xf numFmtId="0" fontId="4" fillId="3" borderId="5" xfId="0" applyNumberFormat="1" applyFont="1" applyFill="1" applyBorder="1"/>
    <x:xf numFmtId="0" fontId="3" fillId="4" borderId="2" xfId="0" applyNumberFormat="1" applyFont="1" applyFill="1" applyBorder="1"/>
    <x:xf numFmtId="0" fontId="3" fillId="4" borderId="4" xfId="0" applyNumberFormat="1" applyFont="1" applyFill="1" applyBorder="1"/>
    <x:xf numFmtId="0" fontId="3" fillId="4" borderId="6" xfId="0" applyNumberFormat="1" applyFont="1" applyFill="1" applyBorder="1"/>
    <x:xf numFmtId="0" fontId="5" fillId="4" borderId="2" xfId="0" applyNumberFormat="1" applyFont="1" applyFill="1" applyBorder="1"/>
    <x:xf numFmtId="0" fontId="5" fillId="4" borderId="4" xfId="0" applyNumberFormat="1" applyFont="1" applyFill="1" applyBorder="1"/>
    <x:xf numFmtId="0" fontId="5" fillId="4" borderId="6" xfId="0" applyNumberFormat="1" applyFont="1" applyFill="1" applyBorder="1"/>
    <x:xf numFmtId="200" fontId="5" fillId="4" borderId="4" xfId="0" applyNumberFormat="1" applyFont="1" applyFill="1" applyBorder="1"/>
    <x:xf numFmtId="201" fontId="5" fillId="4" borderId="4" xfId="0" applyNumberFormat="1" applyFont="1" applyFill="1" applyBorder="1"/>
    <x:xf numFmtId="202" fontId="5" fillId="4" borderId="6"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7" xfId="0" applyNumberFormat="1" applyFont="1" applyFill="1" applyBorder="1"/>
    <x:xf numFmtId="0" fontId="6" fillId="6" borderId="7" xfId="0" applyNumberFormat="1" applyFont="1" applyFill="1" applyBorder="1" applyAlignment="1">
      <x:alignment wrapText="1"/>
    </x:xf>
    <x:xf numFmtId="0" fontId="6" fillId="6" borderId="7"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8" fillId="0" borderId="0" xfId="0" applyNumberFormat="1" applyFont="1" applyFill="1" applyBorder="1"/>
    <x:xf numFmtId="0" fontId="8" fillId="0" borderId="6" xfId="0" applyNumberFormat="1" applyFont="1" applyFill="1" applyBorder="1"/>
    <x:xf numFmtId="0" fontId="8" fillId="0" borderId="8" xfId="0" applyNumberFormat="1" applyFont="1" applyFill="1" applyBorder="1"/>
    <x:xf numFmtId="0" fontId="8" fillId="0" borderId="5" xfId="0" applyNumberFormat="1" applyFont="1" applyFill="1" applyBorder="1"/>
    <x:xf numFmtId="0" fontId="8" fillId="0" borderId="9" xfId="0" applyNumberFormat="1" applyFont="1" applyFill="1" applyBorder="1"/>
    <x:xf numFmtId="0" fontId="8" fillId="0" borderId="10" xfId="0" applyNumberFormat="1" applyFont="1" applyFill="1" applyBorder="1"/>
    <x:xf numFmtId="0" fontId="8" fillId="0" borderId="11" xfId="0" applyNumberFormat="1" applyFont="1" applyFill="1" applyBorder="1"/>
    <x:xf numFmtId="0" fontId="8" fillId="0" borderId="2" xfId="0" applyNumberFormat="1" applyFont="1" applyFill="1" applyBorder="1"/>
    <x:xf numFmtId="0" fontId="8" fillId="0" borderId="12" xfId="0" applyNumberFormat="1" applyFont="1" applyFill="1" applyBorder="1"/>
    <x:xf numFmtId="0" fontId="8" fillId="0" borderId="1" xfId="0" applyNumberFormat="1" applyFont="1" applyFill="1" applyBorder="1"/>
    <x:xf numFmtId="200" fontId="8" fillId="0" borderId="8" xfId="0" applyNumberFormat="1" applyFont="1" applyFill="1" applyBorder="1"/>
    <x:xf numFmtId="200" fontId="8" fillId="0" borderId="10" xfId="0" applyNumberFormat="1" applyFont="1" applyFill="1" applyBorder="1"/>
    <x:xf numFmtId="200" fontId="8" fillId="0" borderId="12" xfId="0" applyNumberFormat="1" applyFont="1" applyFill="1" applyBorder="1"/>
    <x:xf numFmtId="202" fontId="8" fillId="0" borderId="5" xfId="0" applyNumberFormat="1" applyFont="1" applyFill="1" applyBorder="1"/>
    <x:xf numFmtId="202" fontId="8" fillId="0" borderId="11" xfId="0" applyNumberFormat="1" applyFont="1" applyFill="1" applyBorder="1"/>
    <x:xf numFmtId="202" fontId="8" fillId="0" borderId="1"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center" wrapText="1"/>
    </x:xf>
    <x:xf numFmtId="203" fontId="10" fillId="0" borderId="0" xfId="0" applyNumberFormat="1" applyFont="1" applyFill="1" applyBorder="1" applyAlignment="1">
      <x:alignment vertical="center" wrapText="1"/>
    </x:xf>
    <x:xf numFmtId="204" fontId="10" fillId="0" borderId="0" xfId="0" applyNumberFormat="1" applyFont="1" applyFill="1" applyBorder="1" applyAlignment="1">
      <x:alignment vertical="center" wrapText="1"/>
    </x:xf>
    <x:xf numFmtId="200" fontId="10" fillId="0" borderId="0" xfId="0" applyNumberFormat="1" applyFont="1" applyFill="1" applyBorder="1" applyAlignment="1">
      <x:alignment vertical="center" wrapText="1"/>
    </x:xf>
    <x:xf numFmtId="201" fontId="10" fillId="0" borderId="0" xfId="0" applyNumberFormat="1" applyFont="1" applyFill="1" applyBorder="1" applyAlignment="1">
      <x:alignment vertical="center" wrapText="1"/>
    </x:xf>
    <x:xf numFmtId="202" fontId="10" fillId="0" borderId="0" xfId="0" applyNumberFormat="1" applyFont="1" applyFill="1" applyBorder="1" applyAlignment="1">
      <x:alignment vertical="center" wrapText="1"/>
    </x:xf>
    <x:xf numFmtId="0" fontId="9" fillId="7" borderId="6" xfId="0" applyNumberFormat="1" applyFont="1" applyFill="1" applyBorder="1" applyAlignment="1">
      <x:alignment wrapText="1"/>
    </x:xf>
    <x:xf numFmtId="0" fontId="9" fillId="7" borderId="8" xfId="0" applyNumberFormat="1" applyFont="1" applyFill="1" applyBorder="1" applyAlignment="1">
      <x:alignment wrapText="1"/>
    </x:xf>
    <x:xf numFmtId="0" fontId="9" fillId="7" borderId="5" xfId="0" applyNumberFormat="1" applyFont="1" applyFill="1" applyBorder="1" applyAlignment="1">
      <x:alignment wrapText="1"/>
    </x:xf>
    <x:xf numFmtId="203" fontId="10" fillId="0" borderId="9" xfId="0" applyNumberFormat="1" applyFont="1" applyFill="1" applyBorder="1" applyAlignment="1">
      <x:alignment vertical="center" wrapText="1"/>
    </x:xf>
    <x:xf numFmtId="0" fontId="10" fillId="0" borderId="10" xfId="0" applyNumberFormat="1" applyFont="1" applyFill="1" applyBorder="1" applyAlignment="1">
      <x:alignment vertical="center" wrapText="1"/>
    </x:xf>
    <x:xf numFmtId="204" fontId="10" fillId="0" borderId="10" xfId="0" applyNumberFormat="1" applyFont="1" applyFill="1" applyBorder="1" applyAlignment="1">
      <x:alignment vertical="center" wrapText="1"/>
    </x:xf>
    <x:xf numFmtId="200" fontId="10" fillId="0" borderId="10" xfId="0" applyNumberFormat="1" applyFont="1" applyFill="1" applyBorder="1" applyAlignment="1">
      <x:alignment vertical="center" wrapText="1"/>
    </x:xf>
    <x:xf numFmtId="201" fontId="10" fillId="0" borderId="10" xfId="0" applyNumberFormat="1" applyFont="1" applyFill="1" applyBorder="1" applyAlignment="1">
      <x:alignment vertical="center" wrapText="1"/>
    </x:xf>
    <x:xf numFmtId="202" fontId="10" fillId="0" borderId="10" xfId="0" applyNumberFormat="1" applyFont="1" applyFill="1" applyBorder="1" applyAlignment="1">
      <x:alignment vertical="center" wrapText="1"/>
    </x:xf>
    <x:xf numFmtId="0" fontId="10" fillId="0" borderId="11" xfId="0" applyNumberFormat="1" applyFont="1" applyFill="1" applyBorder="1" applyAlignment="1">
      <x:alignment vertical="center" wrapText="1"/>
    </x:xf>
    <x:xf numFmtId="203" fontId="10" fillId="0" borderId="2" xfId="0" applyNumberFormat="1" applyFont="1" applyFill="1" applyBorder="1" applyAlignment="1">
      <x:alignment vertical="center" wrapText="1"/>
    </x:xf>
    <x:xf numFmtId="0" fontId="10" fillId="0" borderId="12" xfId="0" applyNumberFormat="1" applyFont="1" applyFill="1" applyBorder="1" applyAlignment="1">
      <x:alignment vertical="center" wrapText="1"/>
    </x:xf>
    <x:xf numFmtId="204" fontId="10" fillId="0" borderId="12" xfId="0" applyNumberFormat="1" applyFont="1" applyFill="1" applyBorder="1" applyAlignment="1">
      <x:alignment vertical="center" wrapText="1"/>
    </x:xf>
    <x:xf numFmtId="200" fontId="10" fillId="0" borderId="12" xfId="0" applyNumberFormat="1" applyFont="1" applyFill="1" applyBorder="1" applyAlignment="1">
      <x:alignment vertical="center" wrapText="1"/>
    </x:xf>
    <x:xf numFmtId="201" fontId="10" fillId="0" borderId="12" xfId="0" applyNumberFormat="1" applyFont="1" applyFill="1" applyBorder="1" applyAlignment="1">
      <x:alignment vertical="center" wrapText="1"/>
    </x:xf>
    <x:xf numFmtId="202" fontId="10" fillId="0" borderId="12" xfId="0" applyNumberFormat="1" applyFont="1" applyFill="1" applyBorder="1" applyAlignment="1">
      <x:alignment vertical="center" wrapText="1"/>
    </x:xf>
    <x:xf numFmtId="0" fontId="10" fillId="0" borderId="1"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4" fillId="3" borderId="1" xfId="0" applyNumberFormat="1" applyFont="1" applyFill="1" applyBorder="1" applyAlignment="1">
      <x:alignment vertical="center"/>
    </x:xf>
    <x:xf numFmtId="0" fontId="5" fillId="4" borderId="2"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3"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6" fillId="6" borderId="7" xfId="0" applyNumberFormat="1" applyFont="1" applyFill="1" applyBorder="1" applyAlignment="1">
      <x:alignment vertical="center" wrapText="1"/>
    </x:xf>
    <x:xf numFmtId="200" fontId="5" fillId="4" borderId="4" xfId="0" applyNumberFormat="1" applyFont="1" applyFill="1" applyBorder="1" applyAlignment="1">
      <x:alignment vertical="center"/>
    </x:xf>
    <x:xf numFmtId="201" fontId="5" fillId="4" borderId="4" xfId="0" applyNumberFormat="1" applyFont="1" applyFill="1" applyBorder="1" applyAlignment="1">
      <x:alignment vertical="center"/>
    </x:xf>
    <x:xf numFmtId="0" fontId="4" fillId="3" borderId="5" xfId="0" applyNumberFormat="1" applyFont="1" applyFill="1" applyBorder="1" applyAlignment="1">
      <x:alignment vertical="center"/>
    </x:xf>
    <x:xf numFmtId="202" fontId="5" fillId="4" borderId="6" xfId="0" applyNumberFormat="1" applyFont="1" applyFill="1" applyBorder="1" applyAlignment="1">
      <x:alignment vertical="center"/>
    </x:xf>
    <x:xf numFmtId="0" fontId="7" fillId="7" borderId="0" xfId="0" applyNumberFormat="1" applyFont="1" applyFill="1" applyBorder="1" applyAlignment="1">
      <x:alignment vertical="center"/>
    </x:xf>
    <x:xf numFmtId="0" fontId="8" fillId="0" borderId="6" xfId="0" applyNumberFormat="1" applyFont="1" applyFill="1" applyBorder="1" applyAlignment="1">
      <x:alignment vertical="center"/>
    </x:xf>
    <x:xf numFmtId="200" fontId="8" fillId="0" borderId="8" xfId="0" applyNumberFormat="1" applyFont="1" applyFill="1" applyBorder="1" applyAlignment="1">
      <x:alignment vertical="center"/>
    </x:xf>
    <x:xf numFmtId="202" fontId="8" fillId="0" borderId="5" xfId="0" applyNumberFormat="1" applyFont="1" applyFill="1" applyBorder="1" applyAlignment="1">
      <x:alignment vertical="center"/>
    </x:xf>
    <x:xf numFmtId="0" fontId="8" fillId="0" borderId="9" xfId="0" applyNumberFormat="1" applyFont="1" applyFill="1" applyBorder="1" applyAlignment="1">
      <x:alignment vertical="center"/>
    </x:xf>
    <x:xf numFmtId="200" fontId="8" fillId="0" borderId="10" xfId="0" applyNumberFormat="1" applyFont="1" applyFill="1" applyBorder="1" applyAlignment="1">
      <x:alignment vertical="center"/>
    </x:xf>
    <x:xf numFmtId="202" fontId="8" fillId="0" borderId="11" xfId="0" applyNumberFormat="1" applyFont="1" applyFill="1" applyBorder="1" applyAlignment="1">
      <x:alignment vertical="center"/>
    </x:xf>
    <x:xf numFmtId="0" fontId="8" fillId="0" borderId="2" xfId="0" applyNumberFormat="1" applyFont="1" applyFill="1" applyBorder="1" applyAlignment="1">
      <x:alignment vertical="center"/>
    </x:xf>
    <x:xf numFmtId="200" fontId="8" fillId="0" borderId="12" xfId="0" applyNumberFormat="1" applyFont="1" applyFill="1" applyBorder="1" applyAlignment="1">
      <x:alignment vertical="center"/>
    </x:xf>
    <x:xf numFmtId="202" fontId="8" fillId="0" borderId="1" xfId="0" applyNumberFormat="1" applyFont="1" applyFill="1" applyBorder="1" applyAlignment="1">
      <x:alignment vertical="center"/>
    </x:xf>
    <x:xf numFmtId="0" fontId="2" fillId="8" borderId="0" xfId="0" applyNumberFormat="1" applyFont="1" applyFill="1" applyBorder="1" applyAlignment="1">
      <x:alignment vertical="center"/>
    </x:xf>
    <x:xf numFmtId="0" fontId="9" fillId="7" borderId="6" xfId="0" applyNumberFormat="1" applyFont="1" applyFill="1" applyBorder="1" applyAlignment="1">
      <x:alignment vertical="center" wrapText="1"/>
    </x:xf>
    <x:xf numFmtId="0" fontId="9" fillId="7" borderId="8" xfId="0" applyNumberFormat="1" applyFont="1" applyFill="1" applyBorder="1" applyAlignment="1">
      <x:alignment vertical="center" wrapText="1"/>
    </x:xf>
    <x:xf numFmtId="0" fontId="9" fillId="7" borderId="5" xfId="0" applyNumberFormat="1" applyFont="1" applyFill="1" applyBorder="1" applyAlignment="1">
      <x:alignment vertical="center" wrapText="1"/>
    </x:xf>
  </x:cellXfs>
  <x:cellStyles count="1">
    <x:cellStyle name="Normal" xfId="0"/>
  </x:cellStyles>
  <x:dxfs count="2">
    <x:dxf>
      <x:font>
        <x:b/>
        <x:color rgb="FF7A4D00"/>
      </x:font>
      <x:fill>
        <x:patternFill patternType="solid">
          <x:bgColor rgb="FFFFF4CE"/>
        </x:patternFill>
      </x:fill>
    </x:dxf>
    <x:dxf>
      <x:font>
        <x:b/>
        <x:color rgb="FF1C6337"/>
      </x:font>
      <x:fill>
        <x:patternFill patternType="solid">
          <x:bgColor rgb="FFE8F3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4e77a9ab854cec" /><Relationship Type="http://schemas.openxmlformats.org/officeDocument/2006/relationships/theme" Target="/xl/theme/theme1.xml" Id="R29cd3b223fa646e7" /><Relationship Type="http://schemas.openxmlformats.org/officeDocument/2006/relationships/sharedStrings" Target="/xl/sharedStrings.xml" Id="R3572fd4b79094914" /><Relationship Type="http://schemas.openxmlformats.org/officeDocument/2006/relationships/worksheet" Target="/xl/worksheets/sheet1.xml" Id="R70ad45dc0578486a" /><Relationship Type="http://schemas.openxmlformats.org/officeDocument/2006/relationships/worksheet" Target="/xl/worksheets/sheet2.xml" Id="Rfaa8875b67e94323" /><Relationship Type="http://schemas.openxmlformats.org/officeDocument/2006/relationships/worksheet" Target="/xl/worksheets/sheet3.xml" Id="R5c6bb2940bf34f1a" /><Relationship Type="http://schemas.microsoft.com/office/2017/10/relationships/person" Target="/xl/persons/person.xml" Id="R8c451549e51a415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1af075724404fd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Attendance rate by course</a:t>
            </a:r>
          </a:p>
        </c:rich>
      </c:tx>
    </c:title>
    <c:plotArea>
      <c:barChart>
        <c:barDir val="col"/>
        <c:varyColors val="0"/>
        <c:ser>
          <c:idx val="0"/>
          <c:order val="0"/>
          <c:tx>
            <c:v>Attendance rate</c:v>
          </c:tx>
          <c:cat>
            <c:strRef>
              <c:f>'Summary'!$A$12:$A$15</c:f>
              <c:strCache>
                <c:ptCount val="0"/>
              </c:strCache>
            </c:strRef>
          </c:cat>
          <c:val>
            <c:numRef>
              <c:f>'Summary'!$B$12:$B$15</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10</xdr:row>
      <xdr:rowOff>0</xdr:rowOff>
    </xdr:from>
    <xdr:to>
      <xdr:col>8</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1af075724404fd9"/>
        </a:graphicData>
      </a:graphic>
    </xdr:graphicFrame>
    <xdr:clientData/>
  </xdr:twoCellAnchor>
</xdr:wsDr>
</file>

<file path=xl/persons/person.xml><?xml version="1.0" encoding="utf-8"?>
<xltc:personList xmlns:xltc="http://schemas.microsoft.com/office/spreadsheetml/2018/threadedcomments">
  <xltc:person displayName="Mark Price" id="{2D5070A5-2028-401F-9704-DA668EB348D8}"/>
</xltc:personList>
</file>

<file path=xl/tables/table1.xml><?xml version="1.0" encoding="utf-8"?>
<x:table xmlns:x="http://schemas.openxmlformats.org/spreadsheetml/2006/main" id="1" name="WeeklyResultsTable" displayName="WeeklyResultsTable" ref="A5:L9" headerRowCount="1" totalsRowCount="0" totalsRowShown="0">
  <x:tableColumns count="12">
    <x:tableColumn id="1" name="Date"/>
    <x:tableColumn id="2" name="Course"/>
    <x:tableColumn id="3" name="Format"/>
    <x:tableColumn id="4" name="Capacity"/>
    <x:tableColumn id="5" name="Booked"/>
    <x:tableColumn id="6" name="Attended"/>
    <x:tableColumn id="7" name="Attendance rate"/>
    <x:tableColumn id="8" name="Gross revenue"/>
    <x:tableColumn id="9" name="Known net revenue"/>
    <x:tableColumn id="10" name="Satisfaction"/>
    <x:tableColumn id="11" name="Status"/>
    <x:tableColumn id="12" name="Session note"/>
  </x:tableColumns>
  <x:tableStyleInfo name="TableStyleMedium2" showFirstColumn="0" showLastColumn="0" showRowStripes="1" showColumnStripes="0"/>
</x:table>
</file>

<file path=xl/tables/table2.xml><?xml version="1.0" encoding="utf-8"?>
<x:table xmlns:x="http://schemas.openxmlformats.org/spreadsheetml/2006/main" id="2" name="NextWeekTable" displayName="NextWeekTable" ref="A5:I10" headerRowCount="1" totalsRowCount="0" totalsRowShown="0">
  <x:tableColumns count="9">
    <x:tableColumn id="1" name="Date"/>
    <x:tableColumn id="2" name="Course"/>
    <x:tableColumn id="3" name="Format"/>
    <x:tableColumn id="4" name="Capacity"/>
    <x:tableColumn id="5" name="Booked"/>
    <x:tableColumn id="6" name="Fill rate"/>
    <x:tableColumn id="7" name="Instructor"/>
    <x:tableColumn id="8" name="Readiness"/>
    <x:tableColumn id="9"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J9" dT="2026-07-31T08:44:37.505" personId="{2D5070A5-2028-401F-9704-DA668EB348D8}" id="{AFD3BFF9-0462-458A-135E-2C9B3D52E729}">
    <xltc:text>This score is intentionally blank because the survey is still open.</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20fb41f1126644d1" /></Relationships>
</file>

<file path=xl/worksheets/_rels/sheet2.xml.rels>&#65279;<?xml version="1.0" encoding="utf-8"?><Relationships xmlns="http://schemas.openxmlformats.org/package/2006/relationships"><Relationship Type="http://schemas.openxmlformats.org/officeDocument/2006/relationships/comments" Target="/xl/comments1.xml" Id="R4aaa4f9e93c247dc" /><Relationship Type="http://schemas.openxmlformats.org/officeDocument/2006/relationships/vmlDrawing" Target="/xl/drawings/vmldrawing.vml" Id="Rc0c35dc8f40c4171" /><Relationship Type="http://schemas.microsoft.com/office/2017/10/relationships/threadedComment" Target="/xl/threadedcomments/threadedcomment.xml" Id="R947279fc1d994c39" /><Relationship Type="http://schemas.openxmlformats.org/officeDocument/2006/relationships/table" Target="/xl/tables/table1.xml" Id="Rbc1b9ab9a5934185" /></Relationships>
</file>

<file path=xl/worksheets/_rels/sheet3.xml.rels>&#65279;<?xml version="1.0" encoding="utf-8"?><Relationships xmlns="http://schemas.openxmlformats.org/package/2006/relationships"><Relationship Type="http://schemas.openxmlformats.org/officeDocument/2006/relationships/table" Target="/xl/tables/table2.xml" Id="Rc728689bcfbe4057"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4" max="4" width="16" hidden="0" customWidth="1"/>
    <x:col min="5" max="5" width="16" hidden="0" customWidth="1"/>
    <x:col min="6" max="6" width="16" hidden="0" customWidth="1"/>
    <x:col min="7" max="7" width="16" hidden="0" customWidth="1"/>
    <x:col min="8" max="8" width="16" hidden="0" customWidth="1"/>
    <x:col min="3" max="3" width="18" hidden="0" customWidth="1"/>
  </x:cols>
  <x:sheetData>
    <x:row r="1" ht="34" customHeight="1">
      <x:c r="A1" s="3" t="str">
        <x:v>Brightside Learning Weekly Workshop Tracker</x:v>
      </x:c>
      <x:c r="B1" s="83"/>
      <x:c r="C1" s="83"/>
      <x:c r="D1" s="83"/>
    </x:row>
    <x:row r="2" ht="24" customHeight="1">
      <x:c r="A2" s="6" t="str">
        <x:v>Approved source | Week ending July 31, 2026 | Fictional sample data</x:v>
      </x:c>
      <x:c r="B2" s="83"/>
      <x:c r="C2" s="83"/>
      <x:c r="D2" s="83"/>
    </x:row>
    <x:row r="3">
      <x:c r="A3" s="83"/>
      <x:c r="B3" s="83"/>
      <x:c r="C3" s="83"/>
      <x:c r="D3" s="83"/>
    </x:row>
    <x:row r="4">
      <x:c r="A4" s="84" t="str">
        <x:v>Delivered sessions</x:v>
      </x:c>
      <x:c r="B4" s="85" t="n">
        <x:f>COUNTIF('Weekly Results'!K6:K9,"Delivered")</x:f>
        <x:v>4</x:v>
      </x:c>
      <x:c r="C4" s="83"/>
      <x:c r="D4" s="86" t="str">
        <x:v>Important limits</x:v>
      </x:c>
    </x:row>
    <x:row r="5" ht="76" customHeight="1">
      <x:c r="A5" s="87" t="str">
        <x:v>Attendance</x:v>
      </x:c>
      <x:c r="B5" s="88" t="str">
        <x:f>SUM('Weekly Results'!F6:F9)&amp;" of "&amp;SUM('Weekly Results'!D6:D9)</x:f>
        <x:v>58 of 72</x:v>
      </x:c>
      <x:c r="C5" s="83"/>
      <x:c r="D5" s="89" t="str">
        <x:v>Revenue is known net revenue from delivered sessions only. Attendance is total attendees divided by total capacity. The satisfaction average excludes the missing Present with Confidence score and therefore covers three of four delivered sessions.</x:v>
      </x:c>
    </x:row>
    <x:row r="6">
      <x:c r="A6" s="87" t="str">
        <x:v>Overall attendance rate</x:v>
      </x:c>
      <x:c r="B6" s="90" t="n">
        <x:f>SUM('Weekly Results'!F6:F9)/SUM('Weekly Results'!D6:D9)</x:f>
        <x:v>0.8055555555555556</x:v>
      </x:c>
      <x:c r="C6" s="83"/>
      <x:c r="D6" s="83"/>
    </x:row>
    <x:row r="7">
      <x:c r="A7" s="87" t="str">
        <x:v>Known net revenue</x:v>
      </x:c>
      <x:c r="B7" s="91" t="n">
        <x:f>SUM('Weekly Results'!I6:I9)</x:f>
        <x:v>11340</x:v>
      </x:c>
      <x:c r="C7" s="83"/>
      <x:c r="D7" s="83"/>
    </x:row>
    <x:row r="8">
      <x:c r="A8" s="92" t="str">
        <x:v>Average satisfaction</x:v>
      </x:c>
      <x:c r="B8" s="93" t="n">
        <x:f>AVERAGE('Weekly Results'!J6:J9)</x:f>
        <x:v>4.466666666666666</x:v>
      </x:c>
      <x:c r="C8" s="83"/>
      <x:c r="D8" s="83"/>
    </x:row>
    <x:row r="9">
      <x:c r="A9" s="83"/>
      <x:c r="B9" s="83"/>
      <x:c r="C9" s="83"/>
      <x:c r="D9" s="83"/>
    </x:row>
    <x:row r="10">
      <x:c r="A10" s="83"/>
      <x:c r="B10" s="83"/>
      <x:c r="C10" s="83"/>
      <x:c r="D10" s="83"/>
    </x:row>
    <x:row r="11">
      <x:c r="A11" s="94" t="str">
        <x:v>Course</x:v>
      </x:c>
      <x:c r="B11" s="94" t="str">
        <x:v>Attendance rate</x:v>
      </x:c>
      <x:c r="C11" s="94" t="str">
        <x:v>Satisfaction</x:v>
      </x:c>
      <x:c r="D11" s="83"/>
    </x:row>
    <x:row r="12">
      <x:c r="A12" s="95" t="str">
        <x:f>'Weekly Results'!B6</x:f>
        <x:v>Introduction to Data Visualization</x:v>
      </x:c>
      <x:c r="B12" s="96" t="n">
        <x:f>'Weekly Results'!G6</x:f>
        <x:v>0.9</x:v>
      </x:c>
      <x:c r="C12" s="97" t="n">
        <x:f>'Weekly Results'!J6</x:f>
        <x:v>4.7</x:v>
      </x:c>
      <x:c r="D12" s="83"/>
    </x:row>
    <x:row r="13">
      <x:c r="A13" s="98" t="str">
        <x:f>'Weekly Results'!B7</x:f>
        <x:v>Excel Essentials</x:v>
      </x:c>
      <x:c r="B13" s="99" t="n">
        <x:f>'Weekly Results'!G7</x:f>
        <x:v>0.7777777777777778</x:v>
      </x:c>
      <x:c r="C13" s="100" t="n">
        <x:f>'Weekly Results'!J7</x:f>
        <x:v>4.5</x:v>
      </x:c>
      <x:c r="D13" s="83"/>
    </x:row>
    <x:row r="14">
      <x:c r="A14" s="98" t="str">
        <x:f>'Weekly Results'!B8</x:f>
        <x:v>Project Planning</x:v>
      </x:c>
      <x:c r="B14" s="99" t="n">
        <x:f>'Weekly Results'!G8</x:f>
        <x:v>0.5625</x:v>
      </x:c>
      <x:c r="C14" s="100" t="n">
        <x:f>'Weekly Results'!J8</x:f>
        <x:v>4.2</x:v>
      </x:c>
      <x:c r="D14" s="83"/>
    </x:row>
    <x:row r="15">
      <x:c r="A15" s="101" t="str">
        <x:f>'Weekly Results'!B9</x:f>
        <x:v>Present with Confidence</x:v>
      </x:c>
      <x:c r="B15" s="102" t="n">
        <x:f>'Weekly Results'!G9</x:f>
        <x:v>0.9444444444444444</x:v>
      </x:c>
      <x:c r="C15" s="103"/>
      <x:c r="D15" s="83"/>
    </x:row>
  </x:sheetData>
  <x:mergeCells>
    <x:mergeCell ref="A1:H1"/>
    <x:mergeCell ref="A2:H2"/>
    <x:mergeCell ref="D4:H4"/>
    <x:mergeCell ref="D5:H8"/>
  </x:mergeCells>
  <x:pageMargins left="0.7" right="0.7" top="0.75" bottom="0.75" header="0.3" footer="0.3"/>
  <x:drawing xmlns:r="http://schemas.openxmlformats.org/officeDocument/2006/relationships" r:id="R20fb41f1126644d1"/>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4" hidden="0" customWidth="1"/>
    <x:col min="4" max="4" width="10" hidden="0" customWidth="1"/>
    <x:col min="5" max="5" width="10" hidden="0" customWidth="1"/>
    <x:col min="6" max="6" width="10" hidden="0" customWidth="1"/>
    <x:col min="7" max="7" width="15" hidden="0" customWidth="1"/>
    <x:col min="8" max="8" width="16" hidden="0" customWidth="1"/>
    <x:col min="9" max="9" width="16" hidden="0" customWidth="1"/>
    <x:col min="10" max="10" width="13" hidden="0" customWidth="1"/>
    <x:col min="11" max="11" width="13" hidden="0" customWidth="1"/>
    <x:col min="12" max="12" width="42" hidden="0" customWidth="1"/>
  </x:cols>
  <x:sheetData>
    <x:row r="1" ht="34" customHeight="1">
      <x:c r="A1" s="3" t="str">
        <x:v>Weekly Results</x:v>
      </x:c>
      <x:c r="B1" s="83"/>
      <x:c r="C1" s="83"/>
      <x:c r="D1" s="83"/>
      <x:c r="E1" s="83"/>
      <x:c r="F1" s="83"/>
      <x:c r="G1" s="83"/>
      <x:c r="H1" s="83"/>
      <x:c r="I1" s="83"/>
      <x:c r="J1" s="83"/>
      <x:c r="K1" s="83"/>
      <x:c r="L1" s="83"/>
    </x:row>
    <x:row r="2" ht="24" customHeight="1">
      <x:c r="A2" s="6" t="str">
        <x:v>Delivered sessions | Week ending July 31, 2026</x:v>
      </x:c>
      <x:c r="B2" s="83"/>
      <x:c r="C2" s="83"/>
      <x:c r="D2" s="83"/>
      <x:c r="E2" s="83"/>
      <x:c r="F2" s="83"/>
      <x:c r="G2" s="83"/>
      <x:c r="H2" s="83"/>
      <x:c r="I2" s="83"/>
      <x:c r="J2" s="83"/>
      <x:c r="K2" s="83"/>
      <x:c r="L2" s="83"/>
    </x:row>
    <x:row r="3">
      <x:c r="A3" s="83"/>
      <x:c r="B3" s="83"/>
      <x:c r="C3" s="83"/>
      <x:c r="D3" s="83"/>
      <x:c r="E3" s="83"/>
      <x:c r="F3" s="83"/>
      <x:c r="G3" s="83"/>
      <x:c r="H3" s="83"/>
      <x:c r="I3" s="83"/>
      <x:c r="J3" s="83"/>
      <x:c r="K3" s="83"/>
      <x:c r="L3" s="83"/>
    </x:row>
    <x:row r="4">
      <x:c r="A4" s="104" t="str">
        <x:v>Use these rows for current-week results. The Session note column records facts only, not explanations.</x:v>
      </x:c>
      <x:c r="B4" s="83"/>
      <x:c r="C4" s="83"/>
      <x:c r="D4" s="83"/>
      <x:c r="E4" s="83"/>
      <x:c r="F4" s="83"/>
      <x:c r="G4" s="83"/>
      <x:c r="H4" s="83"/>
      <x:c r="I4" s="83"/>
      <x:c r="J4" s="83"/>
      <x:c r="K4" s="83"/>
      <x:c r="L4" s="83"/>
    </x:row>
    <x:row r="5">
      <x:c r="A5" s="105" t="str">
        <x:v>Date</x:v>
      </x:c>
      <x:c r="B5" s="106" t="str">
        <x:v>Course</x:v>
      </x:c>
      <x:c r="C5" s="106" t="str">
        <x:v>Format</x:v>
      </x:c>
      <x:c r="D5" s="106" t="str">
        <x:v>Capacity</x:v>
      </x:c>
      <x:c r="E5" s="106" t="str">
        <x:v>Booked</x:v>
      </x:c>
      <x:c r="F5" s="106" t="str">
        <x:v>Attended</x:v>
      </x:c>
      <x:c r="G5" s="106" t="str">
        <x:v>Attendance rate</x:v>
      </x:c>
      <x:c r="H5" s="106" t="str">
        <x:v>Gross revenue</x:v>
      </x:c>
      <x:c r="I5" s="106" t="str">
        <x:v>Known net revenue</x:v>
      </x:c>
      <x:c r="J5" s="106" t="str">
        <x:v>Satisfaction</x:v>
      </x:c>
      <x:c r="K5" s="106" t="str">
        <x:v>Status</x:v>
      </x:c>
      <x:c r="L5" s="107" t="str">
        <x:v>Session note</x:v>
      </x:c>
    </x:row>
    <x:row r="6" ht="34" customHeight="1">
      <x:c r="A6" s="69" t="n">
        <x:v>46230.5</x:v>
      </x:c>
      <x:c r="B6" s="70" t="str">
        <x:v>Introduction to Data Visualization</x:v>
      </x:c>
      <x:c r="C6" s="70" t="str">
        <x:v>Live online</x:v>
      </x:c>
      <x:c r="D6" s="71" t="n">
        <x:v>20</x:v>
      </x:c>
      <x:c r="E6" s="71" t="n">
        <x:v>19</x:v>
      </x:c>
      <x:c r="F6" s="71" t="n">
        <x:v>18</x:v>
      </x:c>
      <x:c r="G6" s="72" t="n">
        <x:f>F6/D6</x:f>
        <x:v>0.9</x:v>
      </x:c>
      <x:c r="H6" s="73" t="n">
        <x:v>3420</x:v>
      </x:c>
      <x:c r="I6" s="73" t="n">
        <x:v>3420</x:v>
      </x:c>
      <x:c r="J6" s="74" t="n">
        <x:v>4.7</x:v>
      </x:c>
      <x:c r="K6" s="70" t="str">
        <x:v>Delivered</x:v>
      </x:c>
      <x:c r="L6" s="75" t="str">
        <x:v>Two attendees asked about an advanced follow-up course.</x:v>
      </x:c>
    </x:row>
    <x:row r="7" ht="34" customHeight="1">
      <x:c r="A7" s="69" t="n">
        <x:v>46231.5</x:v>
      </x:c>
      <x:c r="B7" s="70" t="str">
        <x:v>Excel Essentials</x:v>
      </x:c>
      <x:c r="C7" s="70" t="str">
        <x:v>In person</x:v>
      </x:c>
      <x:c r="D7" s="71" t="n">
        <x:v>18</x:v>
      </x:c>
      <x:c r="E7" s="71" t="n">
        <x:v>16</x:v>
      </x:c>
      <x:c r="F7" s="71" t="n">
        <x:v>14</x:v>
      </x:c>
      <x:c r="G7" s="72" t="n">
        <x:f>F7/D7</x:f>
        <x:v>0.7777777777777778</x:v>
      </x:c>
      <x:c r="H7" s="73" t="n">
        <x:v>2880</x:v>
      </x:c>
      <x:c r="I7" s="73" t="n">
        <x:v>2700</x:v>
      </x:c>
      <x:c r="J7" s="74" t="n">
        <x:v>4.5</x:v>
      </x:c>
      <x:c r="K7" s="70" t="str">
        <x:v>Delivered</x:v>
      </x:c>
      <x:c r="L7" s="75" t="str">
        <x:v>One refund was included in known net revenue.</x:v>
      </x:c>
    </x:row>
    <x:row r="8" ht="34" customHeight="1">
      <x:c r="A8" s="69" t="n">
        <x:v>46232.5</x:v>
      </x:c>
      <x:c r="B8" s="70" t="str">
        <x:v>Project Planning</x:v>
      </x:c>
      <x:c r="C8" s="70" t="str">
        <x:v>Live online</x:v>
      </x:c>
      <x:c r="D8" s="71" t="n">
        <x:v>16</x:v>
      </x:c>
      <x:c r="E8" s="71" t="n">
        <x:v>11</x:v>
      </x:c>
      <x:c r="F8" s="71" t="n">
        <x:v>9</x:v>
      </x:c>
      <x:c r="G8" s="72" t="n">
        <x:f>F8/D8</x:f>
        <x:v>0.5625</x:v>
      </x:c>
      <x:c r="H8" s="73" t="n">
        <x:v>1980</x:v>
      </x:c>
      <x:c r="I8" s="73" t="n">
        <x:v>1980</x:v>
      </x:c>
      <x:c r="J8" s="74" t="n">
        <x:v>4.2</x:v>
      </x:c>
      <x:c r="K8" s="70" t="str">
        <x:v>Delivered</x:v>
      </x:c>
      <x:c r="L8" s="75" t="str">
        <x:v>One corporate training inquiry was received.</x:v>
      </x:c>
    </x:row>
    <x:row r="9" ht="34" customHeight="1">
      <x:c r="A9" s="76" t="n">
        <x:v>46233.5</x:v>
      </x:c>
      <x:c r="B9" s="77" t="str">
        <x:v>Present with Confidence</x:v>
      </x:c>
      <x:c r="C9" s="77" t="str">
        <x:v>In person</x:v>
      </x:c>
      <x:c r="D9" s="78" t="n">
        <x:v>18</x:v>
      </x:c>
      <x:c r="E9" s="78" t="n">
        <x:v>18</x:v>
      </x:c>
      <x:c r="F9" s="78" t="n">
        <x:v>17</x:v>
      </x:c>
      <x:c r="G9" s="79" t="n">
        <x:f>F9/D9</x:f>
        <x:v>0.9444444444444444</x:v>
      </x:c>
      <x:c r="H9" s="80" t="n">
        <x:v>3240</x:v>
      </x:c>
      <x:c r="I9" s="80" t="n">
        <x:v>3240</x:v>
      </x:c>
      <x:c r="J9" s="81"/>
      <x:c r="K9" s="77" t="str">
        <x:v>Delivered</x:v>
      </x:c>
      <x:c r="L9" s="82" t="str">
        <x:v>The satisfaction survey remains open until August 3.</x:v>
      </x:c>
    </x:row>
  </x:sheetData>
  <x:mergeCells>
    <x:mergeCell ref="A1:L1"/>
    <x:mergeCell ref="A2:L2"/>
    <x:mergeCell ref="A4:L4"/>
  </x:mergeCells>
  <x:pageMargins left="0.7" right="0.7" top="0.75" bottom="0.75" header="0.3" footer="0.3"/>
  <x:legacyDrawing xmlns:r="http://schemas.openxmlformats.org/officeDocument/2006/relationships" r:id="Rc0c35dc8f40c4171"/>
  <x:tableParts count="1">
    <x:tablePart xmlns:r="http://schemas.openxmlformats.org/officeDocument/2006/relationships" r:id="Rbc1b9ab9a593418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2" hidden="0" customWidth="1"/>
    <x:col min="3" max="3" width="14" hidden="0" customWidth="1"/>
    <x:col min="4" max="4" width="10" hidden="0" customWidth="1"/>
    <x:col min="5" max="5" width="10" hidden="0" customWidth="1"/>
    <x:col min="6" max="6" width="12" hidden="0" customWidth="1"/>
    <x:col min="7" max="7" width="16" hidden="0" customWidth="1"/>
    <x:col min="8" max="8" width="14" hidden="0" customWidth="1"/>
    <x:col min="9" max="9" width="40" hidden="0" customWidth="1"/>
  </x:cols>
  <x:sheetData>
    <x:row r="1" ht="34" customHeight="1">
      <x:c r="A1" s="3" t="str">
        <x:v>Next Week</x:v>
      </x:c>
      <x:c r="B1" s="83"/>
      <x:c r="C1" s="83"/>
      <x:c r="D1" s="83"/>
      <x:c r="E1" s="83"/>
      <x:c r="F1" s="83"/>
      <x:c r="G1" s="83"/>
      <x:c r="H1" s="83"/>
      <x:c r="I1" s="83"/>
    </x:row>
    <x:row r="2" ht="24" customHeight="1">
      <x:c r="A2" s="6" t="str">
        <x:v>Scheduled sessions | August 3-7, 2026</x:v>
      </x:c>
      <x:c r="B2" s="83"/>
      <x:c r="C2" s="83"/>
      <x:c r="D2" s="83"/>
      <x:c r="E2" s="83"/>
      <x:c r="F2" s="83"/>
      <x:c r="G2" s="83"/>
      <x:c r="H2" s="83"/>
      <x:c r="I2" s="83"/>
    </x:row>
    <x:row r="3">
      <x:c r="A3" s="83"/>
      <x:c r="B3" s="83"/>
      <x:c r="C3" s="83"/>
      <x:c r="D3" s="83"/>
      <x:c r="E3" s="83"/>
      <x:c r="F3" s="83"/>
      <x:c r="G3" s="83"/>
      <x:c r="H3" s="83"/>
      <x:c r="I3" s="83"/>
    </x:row>
    <x:row r="4">
      <x:c r="A4" s="83"/>
      <x:c r="B4" s="83"/>
      <x:c r="C4" s="83"/>
      <x:c r="D4" s="83"/>
      <x:c r="E4" s="83"/>
      <x:c r="F4" s="83"/>
      <x:c r="G4" s="83"/>
      <x:c r="H4" s="83"/>
      <x:c r="I4" s="83"/>
    </x:row>
    <x:row r="5">
      <x:c r="A5" s="105" t="str">
        <x:v>Date</x:v>
      </x:c>
      <x:c r="B5" s="106" t="str">
        <x:v>Course</x:v>
      </x:c>
      <x:c r="C5" s="106" t="str">
        <x:v>Format</x:v>
      </x:c>
      <x:c r="D5" s="106" t="str">
        <x:v>Capacity</x:v>
      </x:c>
      <x:c r="E5" s="106" t="str">
        <x:v>Booked</x:v>
      </x:c>
      <x:c r="F5" s="106" t="str">
        <x:v>Fill rate</x:v>
      </x:c>
      <x:c r="G5" s="106" t="str">
        <x:v>Instructor</x:v>
      </x:c>
      <x:c r="H5" s="106" t="str">
        <x:v>Readiness</x:v>
      </x:c>
      <x:c r="I5" s="107" t="str">
        <x:v>Note</x:v>
      </x:c>
    </x:row>
    <x:row r="6" ht="34" customHeight="1">
      <x:c r="A6" s="69" t="n">
        <x:v>46237.5</x:v>
      </x:c>
      <x:c r="B6" s="70" t="str">
        <x:v>Advanced Excel</x:v>
      </x:c>
      <x:c r="C6" s="70" t="str">
        <x:v>Live online</x:v>
      </x:c>
      <x:c r="D6" s="71" t="n">
        <x:v>20</x:v>
      </x:c>
      <x:c r="E6" s="71" t="n">
        <x:v>17</x:v>
      </x:c>
      <x:c r="F6" s="72" t="n">
        <x:f>E6/D6</x:f>
        <x:v>0.85</x:v>
      </x:c>
      <x:c r="G6" s="70" t="str">
        <x:v>Maya Chen</x:v>
      </x:c>
      <x:c r="H6" s="70" t="str">
        <x:v>Confirmed</x:v>
      </x:c>
      <x:c r="I6" s="75" t="str"/>
    </x:row>
    <x:row r="7" ht="34" customHeight="1">
      <x:c r="A7" s="69" t="n">
        <x:v>46238.5</x:v>
      </x:c>
      <x:c r="B7" s="70" t="str">
        <x:v>Introduction to Data Visualization</x:v>
      </x:c>
      <x:c r="C7" s="70" t="str">
        <x:v>In person</x:v>
      </x:c>
      <x:c r="D7" s="71" t="n">
        <x:v>18</x:v>
      </x:c>
      <x:c r="E7" s="71" t="n">
        <x:v>12</x:v>
      </x:c>
      <x:c r="F7" s="72" t="n">
        <x:f>E7/D7</x:f>
        <x:v>0.6666666666666666</x:v>
      </x:c>
      <x:c r="G7" s="70" t="str">
        <x:v>Leo Martin</x:v>
      </x:c>
      <x:c r="H7" s="70" t="str">
        <x:v>At risk</x:v>
      </x:c>
      <x:c r="I7" s="75" t="str">
        <x:v>Backup instructor confirmation due August 1.</x:v>
      </x:c>
    </x:row>
    <x:row r="8" ht="34" customHeight="1">
      <x:c r="A8" s="69" t="n">
        <x:v>46239.5</x:v>
      </x:c>
      <x:c r="B8" s="70" t="str">
        <x:v>Project Planning</x:v>
      </x:c>
      <x:c r="C8" s="70" t="str">
        <x:v>Live online</x:v>
      </x:c>
      <x:c r="D8" s="71" t="n">
        <x:v>16</x:v>
      </x:c>
      <x:c r="E8" s="71" t="n">
        <x:v>15</x:v>
      </x:c>
      <x:c r="F8" s="72" t="n">
        <x:f>E8/D8</x:f>
        <x:v>0.9375</x:v>
      </x:c>
      <x:c r="G8" s="70" t="str">
        <x:v>Dana Brooks</x:v>
      </x:c>
      <x:c r="H8" s="70" t="str">
        <x:v>Confirmed</x:v>
      </x:c>
      <x:c r="I8" s="75" t="str"/>
    </x:row>
    <x:row r="9" ht="34" customHeight="1">
      <x:c r="A9" s="69" t="n">
        <x:v>46240.5</x:v>
      </x:c>
      <x:c r="B9" s="70" t="str">
        <x:v>AI for Office Tasks</x:v>
      </x:c>
      <x:c r="C9" s="70" t="str">
        <x:v>Live online</x:v>
      </x:c>
      <x:c r="D9" s="71" t="n">
        <x:v>20</x:v>
      </x:c>
      <x:c r="E9" s="71" t="n">
        <x:v>20</x:v>
      </x:c>
      <x:c r="F9" s="72" t="n">
        <x:f>E9/D9</x:f>
        <x:v>1</x:v>
      </x:c>
      <x:c r="G9" s="70" t="str">
        <x:v>Maya Chen</x:v>
      </x:c>
      <x:c r="H9" s="70" t="str">
        <x:v>Full</x:v>
      </x:c>
      <x:c r="I9" s="75" t="str">
        <x:v>Four people are on the waitlist.</x:v>
      </x:c>
    </x:row>
    <x:row r="10" ht="34" customHeight="1">
      <x:c r="A10" s="76" t="n">
        <x:v>46241.5</x:v>
      </x:c>
      <x:c r="B10" s="77" t="str">
        <x:v>Private client session</x:v>
      </x:c>
      <x:c r="C10" s="77" t="str">
        <x:v>In person</x:v>
      </x:c>
      <x:c r="D10" s="78" t="n">
        <x:v>12</x:v>
      </x:c>
      <x:c r="E10" s="78" t="n">
        <x:v>12</x:v>
      </x:c>
      <x:c r="F10" s="79" t="n">
        <x:f>E10/D10</x:f>
        <x:v>1</x:v>
      </x:c>
      <x:c r="G10" s="77" t="str">
        <x:v>Samir Patel</x:v>
      </x:c>
      <x:c r="H10" s="77" t="str">
        <x:v>Confirmed</x:v>
      </x:c>
      <x:c r="I10" s="82" t="str">
        <x:v>Client name omitted from this operational view.</x:v>
      </x:c>
    </x:row>
  </x:sheetData>
  <x:mergeCells>
    <x:mergeCell ref="A1:I1"/>
    <x:mergeCell ref="A2:I2"/>
  </x:mergeCells>
  <x:conditionalFormatting sqref="H6:H10">
    <x:cfRule type="containsText" dxfId="0" priority="1" operator="containsText" text="At risk"/>
    <x:cfRule type="containsText" dxfId="1" priority="2" operator="containsText" text="Full"/>
  </x:conditionalFormatting>
  <x:dataValidations count="1">
    <x:dataValidation type="list" sqref="H6:H10">
      <x:formula1>"Confirmed,At risk,Full,Canceled"</x:formula1>
    </x:dataValidation>
  </x:dataValidations>
  <x:pageMargins left="0.7" right="0.7" top="0.75" bottom="0.75" header="0.3" footer="0.3"/>
  <x:tableParts count="1">
    <x:tablePart xmlns:r="http://schemas.openxmlformats.org/officeDocument/2006/relationships" r:id="Rc728689bcfbe4057"/>
  </x:tableParts>
</x:worksheet>
</file>